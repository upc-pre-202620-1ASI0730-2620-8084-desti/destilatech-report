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Segmento 1 Productor" sheetId="2" state="visible" r:id="rId2"/>
    <sheet xmlns:r="http://schemas.openxmlformats.org/officeDocument/2006/relationships" name="Segmento 2 Comercializador" sheetId="3" state="visible" r:id="rId3"/>
    <sheet xmlns:r="http://schemas.openxmlformats.org/officeDocument/2006/relationships" name="Comparativo" sheetId="4" state="visible" r:id="rId4"/>
    <sheet xmlns:r="http://schemas.openxmlformats.org/officeDocument/2006/relationships" name="Disposición de pago" sheetId="5" state="visible" r:id="rId5"/>
    <sheet xmlns:r="http://schemas.openxmlformats.org/officeDocument/2006/relationships" name="Gráfico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sz val="11"/>
    </font>
    <font>
      <name val="Cambria"/>
      <charset val="1"/>
      <family val="0"/>
      <b val="1"/>
      <sz val="13"/>
    </font>
    <font>
      <name val="Cambria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b val="1"/>
      <color rgb="007A3B2E"/>
      <sz val="13"/>
    </font>
  </fonts>
  <fills count="3">
    <fill>
      <patternFill/>
    </fill>
    <fill>
      <patternFill patternType="gray125"/>
    </fill>
    <fill>
      <patternFill patternType="solid">
        <fgColor rgb="FF5C2B21"/>
        <bgColor rgb="FF333300"/>
      </patternFill>
    </fill>
  </fills>
  <borders count="2">
    <border>
      <left/>
      <right/>
      <top/>
      <bottom/>
      <diagonal/>
    </border>
    <border>
      <left style="thin">
        <color rgb="FFD9C9B8"/>
      </left>
      <right style="thin">
        <color rgb="FFD9C9B8"/>
      </right>
      <top style="thin">
        <color rgb="FFD9C9B8"/>
      </top>
      <bottom style="thin">
        <color rgb="FFD9C9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1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9B8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2B2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500" b="1">
                <a:solidFill>
                  <a:srgbClr val="7A3B2E"/>
                </a:solidFill>
              </a:defRPr>
            </a:pPr>
            <a:r>
              <a:rPr sz="1500" b="1">
                <a:solidFill>
                  <a:srgbClr val="7A3B2E"/>
                </a:solidFill>
              </a:rPr>
              <a:t>Edad de los entrevistados (años)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Edad</v>
          </tx>
          <spPr>
            <a:solidFill xmlns:a="http://schemas.openxmlformats.org/drawingml/2006/main">
              <a:srgbClr val="7A3B2E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A3B2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A3B2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A3B2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9B3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99B3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99B3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D99B3F"/>
              </a:solidFill>
              <a:ln xmlns:a="http://schemas.openxmlformats.org/drawingml/2006/main">
                <a:prstDash val="solid"/>
              </a:ln>
            </spPr>
          </dPt>
          <dLbls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1000" b="1">
                  <a:solidFill>
                    <a:srgbClr val="262626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'Datos'!$AB$2:$AB$8</f>
            </numRef>
          </cat>
          <val>
            <numRef>
              <f>'Datos'!$D$2:$D$8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ax val="7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DCCB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Años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DF9"/>
    </a:solidFill>
    <a:ln xmlns:a="http://schemas.openxmlformats.org/drawingml/2006/main">
      <a:solidFill>
        <a:srgbClr val="E6DCCB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500" b="1">
                <a:solidFill>
                  <a:srgbClr val="7A3B2E"/>
                </a:solidFill>
              </a:defRPr>
            </a:pPr>
            <a:r>
              <a:rPr sz="1500" b="1">
                <a:solidFill>
                  <a:srgbClr val="7A3B2E"/>
                </a:solidFill>
              </a:rPr>
              <a:t>Productor (n=3): % que menciona cada aspecto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% Sí</v>
          </tx>
          <spPr>
            <a:solidFill xmlns:a="http://schemas.openxmlformats.org/drawingml/2006/main">
              <a:srgbClr val="7A3B2E"/>
            </a:solidFill>
            <a:ln xmlns:a="http://schemas.openxmlformats.org/drawingml/2006/main">
              <a:prstDash val="solid"/>
            </a:ln>
          </spPr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1000" b="1">
                  <a:solidFill>
                    <a:srgbClr val="262626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'Segmento 1 Productor'!$A$4:$A$19</f>
            </numRef>
          </cat>
          <val>
            <numRef>
              <f>'Segmento 1 Productor'!$F$4:$F$19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ax val="1.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DCCB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"/>
        <crosses val="max"/>
        <majorUnit val="0.2"/>
      </valAx>
    </plotArea>
    <plotVisOnly val="1"/>
    <dispBlanksAs val="gap"/>
  </chart>
  <spPr>
    <a:solidFill xmlns:a="http://schemas.openxmlformats.org/drawingml/2006/main">
      <a:srgbClr val="FFFDF9"/>
    </a:solidFill>
    <a:ln xmlns:a="http://schemas.openxmlformats.org/drawingml/2006/main">
      <a:solidFill>
        <a:srgbClr val="E6DCCB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500" b="1">
                <a:solidFill>
                  <a:srgbClr val="7A3B2E"/>
                </a:solidFill>
              </a:defRPr>
            </a:pPr>
            <a:r>
              <a:rPr sz="1500" b="1">
                <a:solidFill>
                  <a:srgbClr val="7A3B2E"/>
                </a:solidFill>
              </a:rPr>
              <a:t>Comercializador (n=4): % que menciona cada aspecto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% Sí</v>
          </tx>
          <spPr>
            <a:solidFill xmlns:a="http://schemas.openxmlformats.org/drawingml/2006/main">
              <a:srgbClr val="D99B3F"/>
            </a:solidFill>
            <a:ln xmlns:a="http://schemas.openxmlformats.org/drawingml/2006/main">
              <a:prstDash val="solid"/>
            </a:ln>
          </spPr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1000" b="1">
                  <a:solidFill>
                    <a:srgbClr val="262626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'Segmento 2 Comercializador'!$A$4:$A$19</f>
            </numRef>
          </cat>
          <val>
            <numRef>
              <f>'Segmento 2 Comercializador'!$F$4:$F$19</f>
            </numRef>
          </val>
        </ser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ax val="1.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DCCB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"/>
        <crosses val="max"/>
        <majorUnit val="0.2"/>
      </valAx>
    </plotArea>
    <plotVisOnly val="1"/>
    <dispBlanksAs val="gap"/>
  </chart>
  <spPr>
    <a:solidFill xmlns:a="http://schemas.openxmlformats.org/drawingml/2006/main">
      <a:srgbClr val="FFFDF9"/>
    </a:solidFill>
    <a:ln xmlns:a="http://schemas.openxmlformats.org/drawingml/2006/main">
      <a:solidFill>
        <a:srgbClr val="E6DCCB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500" b="1">
                <a:solidFill>
                  <a:srgbClr val="7A3B2E"/>
                </a:solidFill>
              </a:defRPr>
            </a:pPr>
            <a:r>
              <a:rPr sz="1500" b="1">
                <a:solidFill>
                  <a:srgbClr val="7A3B2E"/>
                </a:solidFill>
              </a:rPr>
              <a:t>Herramientas y dispositivos usados (% sobre el total de cada segmento)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Productor (n=3)</v>
          </tx>
          <spPr>
            <a:solidFill xmlns:a="http://schemas.openxmlformats.org/drawingml/2006/main">
              <a:srgbClr val="7A3B2E"/>
            </a:solidFill>
            <a:ln xmlns:a="http://schemas.openxmlformats.org/drawingml/2006/main">
              <a:prstDash val="solid"/>
            </a:ln>
          </spPr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1000" b="1">
                  <a:solidFill>
                    <a:srgbClr val="262626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'Comparativo'!$A$4:$A$8</f>
            </numRef>
          </cat>
          <val>
            <numRef>
              <f>'Comparativo'!$B$4:$B$8</f>
            </numRef>
          </val>
        </ser>
        <ser>
          <idx val="1"/>
          <order val="1"/>
          <tx>
            <v>Comercializador (n=4)</v>
          </tx>
          <spPr>
            <a:solidFill xmlns:a="http://schemas.openxmlformats.org/drawingml/2006/main">
              <a:srgbClr val="D99B3F"/>
            </a:solidFill>
            <a:ln xmlns:a="http://schemas.openxmlformats.org/drawingml/2006/main">
              <a:prstDash val="solid"/>
            </a:ln>
          </spPr>
          <dLbls>
            <numFmt formatCode="0%"/>
            <txPr>
              <a:bodyPr xmlns:a="http://schemas.openxmlformats.org/drawingml/2006/main"/>
              <a:p xmlns:a="http://schemas.openxmlformats.org/drawingml/2006/main">
                <a:pPr>
                  <a:defRPr sz="1000" b="1">
                    <a:solidFill>
                      <a:srgbClr val="262626"/>
                    </a:solidFill>
                    <a:latin typeface="Calibri"/>
                  </a:defRPr>
                </a:pPr>
                <a:r>
                  <a:t/>
                </a:r>
                <a:endParaRPr sz="1000" b="1">
                  <a:solidFill>
                    <a:srgbClr val="262626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'Comparativo'!$A$4:$A$8</f>
            </numRef>
          </cat>
          <val>
            <numRef>
              <f>'Comparativo'!$C$4:$C$8</f>
            </numRef>
          </val>
        </ser>
        <gapWidth val="6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ax val="1.1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DCCB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"/>
        <majorUnit val="0.2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262626"/>
              </a:solidFill>
              <a:latin typeface="Calibri"/>
            </a:defRPr>
          </a:pPr>
          <a:r>
            <a:t/>
          </a:r>
          <a:endParaRPr sz="1000" b="0">
            <a:solidFill>
              <a:srgbClr val="262626"/>
            </a:solidFill>
            <a:latin typeface="Calibri"/>
          </a:endParaRPr>
        </a:p>
      </txPr>
    </legend>
    <plotVisOnly val="1"/>
    <dispBlanksAs val="gap"/>
  </chart>
  <spPr>
    <a:solidFill xmlns:a="http://schemas.openxmlformats.org/drawingml/2006/main">
      <a:srgbClr val="FFFDF9"/>
    </a:solidFill>
    <a:ln xmlns:a="http://schemas.openxmlformats.org/drawingml/2006/main">
      <a:solidFill>
        <a:srgbClr val="E6DCCB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500" b="1">
                <a:solidFill>
                  <a:srgbClr val="7A3B2E"/>
                </a:solidFill>
              </a:defRPr>
            </a:pPr>
            <a:r>
              <a:rPr sz="1500" b="1">
                <a:solidFill>
                  <a:srgbClr val="7A3B2E"/>
                </a:solidFill>
              </a:rPr>
              <a:t>Rango de pago mensual dispuesto por entrevistado (S/)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v>Pago mín.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'Disposición de pago'!$H$2:$H$8</f>
            </numRef>
          </cat>
          <val>
            <numRef>
              <f>'Disposición de pago'!$D$2:$D$8</f>
            </numRef>
          </val>
        </ser>
        <ser>
          <idx val="1"/>
          <order val="1"/>
          <tx>
            <v>Rango (máx − mín)</v>
          </tx>
          <spPr>
            <a:solidFill xmlns:a="http://schemas.openxmlformats.org/drawingml/2006/main">
              <a:srgbClr val="7A3B2E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A3B2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A3B2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A3B2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9B3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99B3F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99B3F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D99B3F"/>
              </a:solidFill>
              <a:ln xmlns:a="http://schemas.openxmlformats.org/drawingml/2006/main">
                <a:prstDash val="solid"/>
              </a:ln>
            </spPr>
          </dPt>
          <cat>
            <numRef>
              <f>'Disposición de pago'!$H$2:$H$8</f>
            </numRef>
          </cat>
          <val>
            <numRef>
              <f>'Disposición de pago'!$G$2:$G$8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ax val="12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DCCB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 por mes (la barra va del pago mínimo al máximo)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262626"/>
                </a:solidFill>
                <a:latin typeface="Calibri"/>
              </a:defRPr>
            </a:pPr>
            <a:r>
              <a:t/>
            </a:r>
            <a:endParaRPr sz="1000" b="0">
              <a:solidFill>
                <a:srgbClr val="262626"/>
              </a:solidFill>
              <a:latin typeface="Calibri"/>
            </a:endParaRPr>
          </a:p>
        </txPr>
        <crossAx val="10"/>
        <crosses val="max"/>
        <majorUnit val="20"/>
      </valAx>
    </plotArea>
    <plotVisOnly val="1"/>
    <dispBlanksAs val="gap"/>
  </chart>
  <spPr>
    <a:solidFill xmlns:a="http://schemas.openxmlformats.org/drawingml/2006/main">
      <a:srgbClr val="FFFDF9"/>
    </a:solidFill>
    <a:ln xmlns:a="http://schemas.openxmlformats.org/drawingml/2006/main">
      <a:solidFill>
        <a:srgbClr val="E6DCCB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360000" cy="45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28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58</row>
      <rowOff>0</rowOff>
    </from>
    <ext cx="936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88</row>
      <rowOff>0</rowOff>
    </from>
    <ext cx="9360000" cy="45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118</row>
      <rowOff>0</rowOff>
    </from>
    <ext cx="9360000" cy="45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B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1" min="1" max="2"/>
    <col width="22" customWidth="1" style="11" min="3" max="3"/>
    <col width="18" customWidth="1" style="11" min="4" max="5"/>
    <col width="30" customWidth="1" style="11" min="6" max="6"/>
    <col width="18" customWidth="1" style="11" min="7" max="27"/>
    <col width="20" customWidth="1" style="12" min="28" max="28"/>
  </cols>
  <sheetData>
    <row r="1" ht="61.5" customHeight="1" s="12">
      <c r="A1" s="13" t="inlineStr">
        <is>
          <t>ID</t>
        </is>
      </c>
      <c r="B1" s="13" t="inlineStr">
        <is>
          <t>Segmento</t>
        </is>
      </c>
      <c r="C1" s="13" t="inlineStr">
        <is>
          <t>Nombre</t>
        </is>
      </c>
      <c r="D1" s="13" t="inlineStr">
        <is>
          <t>Edad</t>
        </is>
      </c>
      <c r="E1" s="13" t="inlineStr">
        <is>
          <t>Distrito</t>
        </is>
      </c>
      <c r="F1" s="13" t="inlineStr">
        <is>
          <t>Rol</t>
        </is>
      </c>
      <c r="G1" s="13" t="inlineStr">
        <is>
          <t>Pago mín. (S/ mes)</t>
        </is>
      </c>
      <c r="H1" s="13" t="inlineStr">
        <is>
          <t>Pago máx. (S/ mes)</t>
        </is>
      </c>
      <c r="I1" s="13" t="inlineStr">
        <is>
          <t>Duración (min)</t>
        </is>
      </c>
      <c r="J1" s="13" t="inlineStr">
        <is>
          <t>Usa cuaderno/papel</t>
        </is>
      </c>
      <c r="K1" s="13" t="inlineStr">
        <is>
          <t>Usa Excel/hoja de cálculo</t>
        </is>
      </c>
      <c r="L1" s="13" t="inlineStr">
        <is>
          <t>Usa WhatsApp para pedidos/proveedores</t>
        </is>
      </c>
      <c r="M1" s="13" t="inlineStr">
        <is>
          <t>Usa smartphone como dispositivo principal</t>
        </is>
      </c>
      <c r="N1" s="13" t="inlineStr">
        <is>
          <t>Usa laptop/PC</t>
        </is>
      </c>
      <c r="O1" s="13" t="inlineStr">
        <is>
          <t>Usa redes sociales (Instagram/Facebook)</t>
        </is>
      </c>
      <c r="P1" s="13" t="inlineStr">
        <is>
          <t>Usa sensores/IoT</t>
        </is>
      </c>
      <c r="Q1" s="13" t="inlineStr">
        <is>
          <t>Dificultad en monitoreo de variables del proceso</t>
        </is>
      </c>
      <c r="R1" s="13" t="inlineStr">
        <is>
          <t>Errores/desfases en registros de stock o lotes</t>
        </is>
      </c>
      <c r="S1" s="13" t="inlineStr">
        <is>
          <t>Supervisión presencial frecuente en bodega</t>
        </is>
      </c>
      <c r="T1" s="13" t="inlineStr">
        <is>
          <t>Quedó sin stock con clientes esperando</t>
        </is>
      </c>
      <c r="U1" s="13" t="inlineStr">
        <is>
          <t>Frecuencia de quiebre (veces/mes, promedio)</t>
        </is>
      </c>
      <c r="V1" s="13" t="inlineStr">
        <is>
          <t>Abandonó una herramienta digital previa</t>
        </is>
      </c>
      <c r="W1" s="13" t="inlineStr">
        <is>
          <t>Decide reposición por experiencia/intuición</t>
        </is>
      </c>
      <c r="X1" s="13" t="inlineStr">
        <is>
          <t>Considera promociones de proveedores</t>
        </is>
      </c>
      <c r="Y1" s="13" t="inlineStr">
        <is>
          <t>Desea alertas automáticas en el celular</t>
        </is>
      </c>
      <c r="Z1" s="13" t="inlineStr">
        <is>
          <t>Dispuesto a pagar suscripción</t>
        </is>
      </c>
      <c r="AA1" s="13" t="inlineStr">
        <is>
          <t>Marcas de pisco que maneja (prom.)</t>
        </is>
      </c>
      <c r="AB1" s="13" t="inlineStr">
        <is>
          <t>Entrevistado (gráfico)</t>
        </is>
      </c>
    </row>
    <row r="2" ht="15" customHeight="1" s="12">
      <c r="A2" s="14" t="n">
        <v>1</v>
      </c>
      <c r="B2" s="14" t="inlineStr">
        <is>
          <t>Productor</t>
        </is>
      </c>
      <c r="C2" s="14" t="inlineStr">
        <is>
          <t>Luciana Cueva</t>
        </is>
      </c>
      <c r="D2" s="14" t="n">
        <v>20</v>
      </c>
      <c r="E2" s="14" t="inlineStr">
        <is>
          <t>Lima</t>
        </is>
      </c>
      <c r="F2" s="14" t="inlineStr">
        <is>
          <t>Administración (negocio familiar)</t>
        </is>
      </c>
      <c r="G2" s="14" t="n">
        <v>50</v>
      </c>
      <c r="H2" s="14" t="n">
        <v>100</v>
      </c>
      <c r="I2" s="14" t="n">
        <v>11.45</v>
      </c>
      <c r="J2" s="14" t="inlineStr">
        <is>
          <t>S</t>
        </is>
      </c>
      <c r="K2" s="14" t="inlineStr">
        <is>
          <t>S</t>
        </is>
      </c>
      <c r="L2" s="14" t="inlineStr">
        <is>
          <t>S</t>
        </is>
      </c>
      <c r="M2" s="14" t="inlineStr">
        <is>
          <t>S</t>
        </is>
      </c>
      <c r="N2" s="14" t="inlineStr">
        <is>
          <t>N</t>
        </is>
      </c>
      <c r="O2" s="14" t="inlineStr">
        <is>
          <t>S</t>
        </is>
      </c>
      <c r="P2" s="14" t="inlineStr">
        <is>
          <t>N</t>
        </is>
      </c>
      <c r="Q2" s="14" t="inlineStr">
        <is>
          <t>S</t>
        </is>
      </c>
      <c r="R2" s="14" t="inlineStr">
        <is>
          <t>S</t>
        </is>
      </c>
      <c r="S2" s="14" t="inlineStr">
        <is>
          <t>NR</t>
        </is>
      </c>
      <c r="T2" s="14" t="inlineStr">
        <is>
          <t>NR</t>
        </is>
      </c>
      <c r="U2" s="14" t="inlineStr">
        <is>
          <t>NR</t>
        </is>
      </c>
      <c r="V2" s="14" t="inlineStr">
        <is>
          <t>NR</t>
        </is>
      </c>
      <c r="W2" s="14" t="inlineStr">
        <is>
          <t>NR</t>
        </is>
      </c>
      <c r="X2" s="14" t="inlineStr">
        <is>
          <t>NR</t>
        </is>
      </c>
      <c r="Y2" s="14" t="inlineStr">
        <is>
          <t>S</t>
        </is>
      </c>
      <c r="Z2" s="14" t="inlineStr">
        <is>
          <t>S</t>
        </is>
      </c>
      <c r="AA2" s="14" t="inlineStr">
        <is>
          <t>NR</t>
        </is>
      </c>
      <c r="AB2">
        <f>"E"&amp;A2&amp;" "&amp;LEFT(C2,FIND(" ",C2&amp;" ")-1)</f>
        <v/>
      </c>
    </row>
    <row r="3" ht="15" customHeight="1" s="12">
      <c r="A3" s="14" t="n">
        <v>2</v>
      </c>
      <c r="B3" s="14" t="inlineStr">
        <is>
          <t>Productor</t>
        </is>
      </c>
      <c r="C3" s="14" t="inlineStr">
        <is>
          <t>Mario Fernández</t>
        </is>
      </c>
      <c r="D3" s="14" t="n">
        <v>59</v>
      </c>
      <c r="E3" s="14" t="inlineStr">
        <is>
          <t>Santiago de Surco</t>
        </is>
      </c>
      <c r="F3" s="14" t="inlineStr">
        <is>
          <t>Propietario y productor</t>
        </is>
      </c>
      <c r="G3" s="14" t="n">
        <v>80</v>
      </c>
      <c r="H3" s="14" t="n">
        <v>100</v>
      </c>
      <c r="I3" s="14" t="n">
        <v>14.38</v>
      </c>
      <c r="J3" s="14" t="inlineStr">
        <is>
          <t>NR</t>
        </is>
      </c>
      <c r="K3" s="14" t="inlineStr">
        <is>
          <t>S</t>
        </is>
      </c>
      <c r="L3" s="14" t="inlineStr">
        <is>
          <t>NR</t>
        </is>
      </c>
      <c r="M3" s="14" t="inlineStr">
        <is>
          <t>S</t>
        </is>
      </c>
      <c r="N3" s="14" t="inlineStr">
        <is>
          <t>S</t>
        </is>
      </c>
      <c r="O3" s="14" t="inlineStr">
        <is>
          <t>S</t>
        </is>
      </c>
      <c r="P3" s="14" t="inlineStr">
        <is>
          <t>N</t>
        </is>
      </c>
      <c r="Q3" s="14" t="inlineStr">
        <is>
          <t>S</t>
        </is>
      </c>
      <c r="R3" s="14" t="inlineStr">
        <is>
          <t>NR</t>
        </is>
      </c>
      <c r="S3" s="14" t="inlineStr">
        <is>
          <t>S</t>
        </is>
      </c>
      <c r="T3" s="14" t="inlineStr">
        <is>
          <t>NR</t>
        </is>
      </c>
      <c r="U3" s="14" t="inlineStr">
        <is>
          <t>NR</t>
        </is>
      </c>
      <c r="V3" s="14" t="inlineStr">
        <is>
          <t>NR</t>
        </is>
      </c>
      <c r="W3" s="14" t="inlineStr">
        <is>
          <t>NR</t>
        </is>
      </c>
      <c r="X3" s="14" t="inlineStr">
        <is>
          <t>NR</t>
        </is>
      </c>
      <c r="Y3" s="14" t="inlineStr">
        <is>
          <t>NR</t>
        </is>
      </c>
      <c r="Z3" s="14" t="inlineStr">
        <is>
          <t>S</t>
        </is>
      </c>
      <c r="AA3" s="14" t="inlineStr">
        <is>
          <t>NR</t>
        </is>
      </c>
      <c r="AB3">
        <f>"E"&amp;A3&amp;" "&amp;LEFT(C3,FIND(" ",C3&amp;" ")-1)</f>
        <v/>
      </c>
    </row>
    <row r="4" ht="15" customHeight="1" s="12">
      <c r="A4" s="14" t="n">
        <v>3</v>
      </c>
      <c r="B4" s="14" t="inlineStr">
        <is>
          <t>Productor</t>
        </is>
      </c>
      <c r="C4" s="14" t="inlineStr">
        <is>
          <t>Stacy Guerra</t>
        </is>
      </c>
      <c r="D4" s="14" t="n">
        <v>19</v>
      </c>
      <c r="E4" s="14" t="inlineStr">
        <is>
          <t>La Victoria</t>
        </is>
      </c>
      <c r="F4" s="14" t="inlineStr">
        <is>
          <t>Administradora</t>
        </is>
      </c>
      <c r="G4" s="14" t="n">
        <v>60</v>
      </c>
      <c r="H4" s="14" t="n">
        <v>80</v>
      </c>
      <c r="I4" s="14" t="n">
        <v>25.85</v>
      </c>
      <c r="J4" s="14" t="inlineStr">
        <is>
          <t>S</t>
        </is>
      </c>
      <c r="K4" s="14" t="inlineStr">
        <is>
          <t>S</t>
        </is>
      </c>
      <c r="L4" s="14" t="inlineStr">
        <is>
          <t>S</t>
        </is>
      </c>
      <c r="M4" s="14" t="inlineStr">
        <is>
          <t>S</t>
        </is>
      </c>
      <c r="N4" s="14" t="inlineStr">
        <is>
          <t>N</t>
        </is>
      </c>
      <c r="O4" s="14" t="inlineStr">
        <is>
          <t>S</t>
        </is>
      </c>
      <c r="P4" s="14" t="inlineStr">
        <is>
          <t>N</t>
        </is>
      </c>
      <c r="Q4" s="14" t="inlineStr">
        <is>
          <t>S</t>
        </is>
      </c>
      <c r="R4" s="14" t="inlineStr">
        <is>
          <t>S</t>
        </is>
      </c>
      <c r="S4" s="14" t="inlineStr">
        <is>
          <t>S</t>
        </is>
      </c>
      <c r="T4" s="14" t="inlineStr">
        <is>
          <t>NR</t>
        </is>
      </c>
      <c r="U4" s="14" t="inlineStr">
        <is>
          <t>NR</t>
        </is>
      </c>
      <c r="V4" s="14" t="inlineStr">
        <is>
          <t>NR</t>
        </is>
      </c>
      <c r="W4" s="14" t="inlineStr">
        <is>
          <t>NR</t>
        </is>
      </c>
      <c r="X4" s="14" t="inlineStr">
        <is>
          <t>NR</t>
        </is>
      </c>
      <c r="Y4" s="14" t="inlineStr">
        <is>
          <t>S</t>
        </is>
      </c>
      <c r="Z4" s="14" t="inlineStr">
        <is>
          <t>S</t>
        </is>
      </c>
      <c r="AA4" s="14" t="inlineStr">
        <is>
          <t>NR</t>
        </is>
      </c>
      <c r="AB4">
        <f>"E"&amp;A4&amp;" "&amp;LEFT(C4,FIND(" ",C4&amp;" ")-1)</f>
        <v/>
      </c>
    </row>
    <row r="5" ht="15" customHeight="1" s="12">
      <c r="A5" s="14" t="n">
        <v>4</v>
      </c>
      <c r="B5" s="14" t="inlineStr">
        <is>
          <t>Comercializador</t>
        </is>
      </c>
      <c r="C5" s="14" t="inlineStr">
        <is>
          <t>Marco Vargas</t>
        </is>
      </c>
      <c r="D5" s="14" t="n">
        <v>22</v>
      </c>
      <c r="E5" s="14" t="inlineStr">
        <is>
          <t>San Miguel</t>
        </is>
      </c>
      <c r="F5" s="14" t="inlineStr">
        <is>
          <t>Propietario</t>
        </is>
      </c>
      <c r="G5" s="14" t="n">
        <v>40</v>
      </c>
      <c r="H5" s="14" t="n">
        <v>80</v>
      </c>
      <c r="I5" s="14" t="n">
        <v>8.92</v>
      </c>
      <c r="J5" s="14" t="inlineStr">
        <is>
          <t>S</t>
        </is>
      </c>
      <c r="K5" s="14" t="inlineStr">
        <is>
          <t>S</t>
        </is>
      </c>
      <c r="L5" s="14" t="inlineStr">
        <is>
          <t>S</t>
        </is>
      </c>
      <c r="M5" s="14" t="inlineStr">
        <is>
          <t>S</t>
        </is>
      </c>
      <c r="N5" s="14" t="inlineStr">
        <is>
          <t>N</t>
        </is>
      </c>
      <c r="O5" s="14" t="inlineStr">
        <is>
          <t>NR</t>
        </is>
      </c>
      <c r="P5" s="14" t="inlineStr">
        <is>
          <t>NR</t>
        </is>
      </c>
      <c r="Q5" s="14" t="inlineStr">
        <is>
          <t>NR</t>
        </is>
      </c>
      <c r="R5" s="14" t="inlineStr">
        <is>
          <t>NR</t>
        </is>
      </c>
      <c r="S5" s="14" t="inlineStr">
        <is>
          <t>NR</t>
        </is>
      </c>
      <c r="T5" s="14" t="inlineStr">
        <is>
          <t>S</t>
        </is>
      </c>
      <c r="U5" s="14" t="n">
        <v>1.5</v>
      </c>
      <c r="V5" s="14" t="inlineStr">
        <is>
          <t>NR</t>
        </is>
      </c>
      <c r="W5" s="14" t="inlineStr">
        <is>
          <t>S</t>
        </is>
      </c>
      <c r="X5" s="14" t="inlineStr">
        <is>
          <t>S</t>
        </is>
      </c>
      <c r="Y5" s="14" t="inlineStr">
        <is>
          <t>S</t>
        </is>
      </c>
      <c r="Z5" s="14" t="inlineStr">
        <is>
          <t>S</t>
        </is>
      </c>
      <c r="AA5" s="14" t="inlineStr">
        <is>
          <t>NR</t>
        </is>
      </c>
      <c r="AB5">
        <f>"E"&amp;A5&amp;" "&amp;LEFT(C5,FIND(" ",C5&amp;" ")-1)</f>
        <v/>
      </c>
    </row>
    <row r="6" ht="15" customHeight="1" s="12">
      <c r="A6" s="14" t="n">
        <v>5</v>
      </c>
      <c r="B6" s="14" t="inlineStr">
        <is>
          <t>Comercializador</t>
        </is>
      </c>
      <c r="C6" s="14" t="inlineStr">
        <is>
          <t>Carlos Moreno</t>
        </is>
      </c>
      <c r="D6" s="14" t="n">
        <v>29</v>
      </c>
      <c r="E6" s="14" t="inlineStr">
        <is>
          <t>Magdalena</t>
        </is>
      </c>
      <c r="F6" s="14" t="inlineStr">
        <is>
          <t>Administrador (con su hermano)</t>
        </is>
      </c>
      <c r="G6" s="14" t="n">
        <v>50</v>
      </c>
      <c r="H6" s="14" t="n">
        <v>80</v>
      </c>
      <c r="I6" s="14" t="n">
        <v>12.4</v>
      </c>
      <c r="J6" s="14" t="inlineStr">
        <is>
          <t>S</t>
        </is>
      </c>
      <c r="K6" s="14" t="inlineStr">
        <is>
          <t>S</t>
        </is>
      </c>
      <c r="L6" s="14" t="inlineStr">
        <is>
          <t>S</t>
        </is>
      </c>
      <c r="M6" s="14" t="inlineStr">
        <is>
          <t>S</t>
        </is>
      </c>
      <c r="N6" s="14" t="inlineStr">
        <is>
          <t>S</t>
        </is>
      </c>
      <c r="O6" s="14" t="inlineStr">
        <is>
          <t>NR</t>
        </is>
      </c>
      <c r="P6" s="14" t="inlineStr">
        <is>
          <t>NR</t>
        </is>
      </c>
      <c r="Q6" s="14" t="inlineStr">
        <is>
          <t>NR</t>
        </is>
      </c>
      <c r="R6" s="14" t="inlineStr">
        <is>
          <t>NR</t>
        </is>
      </c>
      <c r="S6" s="14" t="inlineStr">
        <is>
          <t>NR</t>
        </is>
      </c>
      <c r="T6" s="14" t="inlineStr">
        <is>
          <t>S</t>
        </is>
      </c>
      <c r="U6" s="14" t="n">
        <v>1.5</v>
      </c>
      <c r="V6" s="14" t="inlineStr">
        <is>
          <t>S</t>
        </is>
      </c>
      <c r="W6" s="14" t="inlineStr">
        <is>
          <t>S</t>
        </is>
      </c>
      <c r="X6" s="14" t="inlineStr">
        <is>
          <t>S</t>
        </is>
      </c>
      <c r="Y6" s="14" t="inlineStr">
        <is>
          <t>S</t>
        </is>
      </c>
      <c r="Z6" s="14" t="inlineStr">
        <is>
          <t>S</t>
        </is>
      </c>
      <c r="AA6" s="14" t="n">
        <v>9</v>
      </c>
      <c r="AB6">
        <f>"E"&amp;A6&amp;" "&amp;LEFT(C6,FIND(" ",C6&amp;" ")-1)</f>
        <v/>
      </c>
    </row>
    <row r="7" ht="15" customHeight="1" s="12">
      <c r="A7" s="14" t="n">
        <v>6</v>
      </c>
      <c r="B7" s="14" t="inlineStr">
        <is>
          <t>Comercializador</t>
        </is>
      </c>
      <c r="C7" s="14" t="inlineStr">
        <is>
          <t>Rubens Moreno</t>
        </is>
      </c>
      <c r="D7" s="14" t="n">
        <v>24</v>
      </c>
      <c r="E7" s="14" t="inlineStr">
        <is>
          <t>Comas</t>
        </is>
      </c>
      <c r="F7" s="14" t="inlineStr">
        <is>
          <t>Administrador</t>
        </is>
      </c>
      <c r="G7" s="14" t="n">
        <v>30</v>
      </c>
      <c r="H7" s="14" t="n">
        <v>80</v>
      </c>
      <c r="I7" s="14" t="n">
        <v>3.6</v>
      </c>
      <c r="J7" s="14" t="inlineStr">
        <is>
          <t>S</t>
        </is>
      </c>
      <c r="K7" s="14" t="inlineStr">
        <is>
          <t>S</t>
        </is>
      </c>
      <c r="L7" s="14" t="inlineStr">
        <is>
          <t>S</t>
        </is>
      </c>
      <c r="M7" s="14" t="inlineStr">
        <is>
          <t>S</t>
        </is>
      </c>
      <c r="N7" s="14" t="inlineStr">
        <is>
          <t>N</t>
        </is>
      </c>
      <c r="O7" s="14" t="inlineStr">
        <is>
          <t>NR</t>
        </is>
      </c>
      <c r="P7" s="14" t="inlineStr">
        <is>
          <t>NR</t>
        </is>
      </c>
      <c r="Q7" s="14" t="inlineStr">
        <is>
          <t>NR</t>
        </is>
      </c>
      <c r="R7" s="14" t="inlineStr">
        <is>
          <t>NR</t>
        </is>
      </c>
      <c r="S7" s="14" t="inlineStr">
        <is>
          <t>NR</t>
        </is>
      </c>
      <c r="T7" s="14" t="inlineStr">
        <is>
          <t>S</t>
        </is>
      </c>
      <c r="U7" s="14" t="n"/>
      <c r="V7" s="14" t="inlineStr">
        <is>
          <t>S</t>
        </is>
      </c>
      <c r="W7" s="14" t="inlineStr">
        <is>
          <t>S</t>
        </is>
      </c>
      <c r="X7" s="14" t="inlineStr">
        <is>
          <t>NR</t>
        </is>
      </c>
      <c r="Y7" s="14" t="inlineStr">
        <is>
          <t>S</t>
        </is>
      </c>
      <c r="Z7" s="14" t="inlineStr">
        <is>
          <t>S</t>
        </is>
      </c>
      <c r="AA7" s="14" t="n">
        <v>10</v>
      </c>
      <c r="AB7">
        <f>"E"&amp;A7&amp;" "&amp;LEFT(C7,FIND(" ",C7&amp;" ")-1)</f>
        <v/>
      </c>
    </row>
    <row r="8" ht="15" customHeight="1" s="12">
      <c r="A8" s="14" t="n">
        <v>7</v>
      </c>
      <c r="B8" s="14" t="inlineStr">
        <is>
          <t>Comercializador</t>
        </is>
      </c>
      <c r="C8" s="14" t="inlineStr">
        <is>
          <t>Andrea Mendoza</t>
        </is>
      </c>
      <c r="D8" s="14" t="n">
        <v>41</v>
      </c>
      <c r="E8" s="14" t="inlineStr">
        <is>
          <t>Surquillo</t>
        </is>
      </c>
      <c r="F8" s="14" t="inlineStr">
        <is>
          <t>Administradora (con su familia)</t>
        </is>
      </c>
      <c r="G8" s="14" t="n">
        <v>40</v>
      </c>
      <c r="H8" s="14" t="n">
        <v>50</v>
      </c>
      <c r="I8" s="14" t="n">
        <v>6.18</v>
      </c>
      <c r="J8" s="14" t="inlineStr">
        <is>
          <t>S</t>
        </is>
      </c>
      <c r="K8" s="14" t="inlineStr">
        <is>
          <t>N</t>
        </is>
      </c>
      <c r="L8" s="14" t="inlineStr">
        <is>
          <t>S</t>
        </is>
      </c>
      <c r="M8" s="14" t="inlineStr">
        <is>
          <t>S</t>
        </is>
      </c>
      <c r="N8" s="14" t="inlineStr">
        <is>
          <t>N</t>
        </is>
      </c>
      <c r="O8" s="14" t="inlineStr">
        <is>
          <t>NR</t>
        </is>
      </c>
      <c r="P8" s="14" t="inlineStr">
        <is>
          <t>NR</t>
        </is>
      </c>
      <c r="Q8" s="14" t="inlineStr">
        <is>
          <t>NR</t>
        </is>
      </c>
      <c r="R8" s="14" t="inlineStr">
        <is>
          <t>NR</t>
        </is>
      </c>
      <c r="S8" s="14" t="inlineStr">
        <is>
          <t>NR</t>
        </is>
      </c>
      <c r="T8" s="14" t="inlineStr">
        <is>
          <t>S</t>
        </is>
      </c>
      <c r="U8" s="14" t="n">
        <v>2.5</v>
      </c>
      <c r="V8" s="14" t="inlineStr">
        <is>
          <t>S</t>
        </is>
      </c>
      <c r="W8" s="14" t="inlineStr">
        <is>
          <t>S</t>
        </is>
      </c>
      <c r="X8" s="14" t="inlineStr">
        <is>
          <t>N</t>
        </is>
      </c>
      <c r="Y8" s="14" t="inlineStr">
        <is>
          <t>S</t>
        </is>
      </c>
      <c r="Z8" s="14" t="inlineStr">
        <is>
          <t>S</t>
        </is>
      </c>
      <c r="AA8" s="14" t="n">
        <v>15</v>
      </c>
      <c r="AB8">
        <f>"E"&amp;A8&amp;" "&amp;LEFT(C8,FIND(" ",C8&amp;" ")-1)</f>
        <v/>
      </c>
    </row>
    <row r="10" ht="15" customHeight="1" s="12">
      <c r="A10" s="15" t="inlineStr">
        <is>
          <t>Leyenda: S = Sí; N = No; NR = no registrado en el resumen de la sección 2.2.2 (no se interpreta como «No»). Fuente: resúmenes de entrevistas del informe.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11" min="1" max="1"/>
    <col width="16" customWidth="1" style="11" min="2" max="7"/>
  </cols>
  <sheetData>
    <row r="1" ht="16.15" customHeight="1" s="12">
      <c r="A1" s="16" t="inlineStr">
        <is>
          <t>Estadísticas — Segmento Productor</t>
        </is>
      </c>
    </row>
    <row r="3" ht="15" customHeight="1" s="12">
      <c r="A3" s="17" t="inlineStr">
        <is>
          <t>Variable</t>
        </is>
      </c>
      <c r="B3" s="17" t="inlineStr">
        <is>
          <t>Sí</t>
        </is>
      </c>
      <c r="C3" s="17" t="inlineStr">
        <is>
          <t>No</t>
        </is>
      </c>
      <c r="D3" s="17" t="inlineStr">
        <is>
          <t>NR</t>
        </is>
      </c>
      <c r="E3" s="17" t="inlineStr">
        <is>
          <t>n con dato</t>
        </is>
      </c>
      <c r="F3" s="17" t="inlineStr">
        <is>
          <t>% Sí sobre n total</t>
        </is>
      </c>
      <c r="G3" s="17" t="inlineStr">
        <is>
          <t>% Sí sobre n con dato</t>
        </is>
      </c>
    </row>
    <row r="4" ht="15" customHeight="1" s="12">
      <c r="A4" s="11" t="inlineStr">
        <is>
          <t>Usa cuaderno/papel</t>
        </is>
      </c>
      <c r="B4" s="11">
        <f>COUNTIFS(Datos!$B$2:$B$8,"Productor",Datos!$J$2:$J$8,"S")</f>
        <v/>
      </c>
      <c r="C4" s="11">
        <f>COUNTIFS(Datos!$B$2:$B$8,"Productor",Datos!$J$2:$J$8,"N")</f>
        <v/>
      </c>
      <c r="D4" s="11">
        <f>COUNTIFS(Datos!$B$2:$B$8,"Productor",Datos!$J$2:$J$8,"NR")</f>
        <v/>
      </c>
      <c r="E4" s="11">
        <f>B4+C4</f>
        <v/>
      </c>
      <c r="F4" s="18">
        <f>B4/COUNTIF(Datos!$B$2:$B$8,"Productor")</f>
        <v/>
      </c>
      <c r="G4" s="18">
        <f>IF(E4=0,"s/d",B4/E4)</f>
        <v/>
      </c>
    </row>
    <row r="5" ht="15" customHeight="1" s="12">
      <c r="A5" s="11" t="inlineStr">
        <is>
          <t>Usa Excel/hoja de cálculo</t>
        </is>
      </c>
      <c r="B5" s="11">
        <f>COUNTIFS(Datos!$B$2:$B$8,"Productor",Datos!$K$2:$K$8,"S")</f>
        <v/>
      </c>
      <c r="C5" s="11">
        <f>COUNTIFS(Datos!$B$2:$B$8,"Productor",Datos!$K$2:$K$8,"N")</f>
        <v/>
      </c>
      <c r="D5" s="11">
        <f>COUNTIFS(Datos!$B$2:$B$8,"Productor",Datos!$K$2:$K$8,"NR")</f>
        <v/>
      </c>
      <c r="E5" s="11">
        <f>B5+C5</f>
        <v/>
      </c>
      <c r="F5" s="18">
        <f>B5/COUNTIF(Datos!$B$2:$B$8,"Productor")</f>
        <v/>
      </c>
      <c r="G5" s="18">
        <f>IF(E5=0,"s/d",B5/E5)</f>
        <v/>
      </c>
    </row>
    <row r="6" ht="15" customHeight="1" s="12">
      <c r="A6" s="11" t="inlineStr">
        <is>
          <t>Usa WhatsApp para pedidos/proveedores</t>
        </is>
      </c>
      <c r="B6" s="11">
        <f>COUNTIFS(Datos!$B$2:$B$8,"Productor",Datos!$L$2:$L$8,"S")</f>
        <v/>
      </c>
      <c r="C6" s="11">
        <f>COUNTIFS(Datos!$B$2:$B$8,"Productor",Datos!$L$2:$L$8,"N")</f>
        <v/>
      </c>
      <c r="D6" s="11">
        <f>COUNTIFS(Datos!$B$2:$B$8,"Productor",Datos!$L$2:$L$8,"NR")</f>
        <v/>
      </c>
      <c r="E6" s="11">
        <f>B6+C6</f>
        <v/>
      </c>
      <c r="F6" s="18">
        <f>B6/COUNTIF(Datos!$B$2:$B$8,"Productor")</f>
        <v/>
      </c>
      <c r="G6" s="18">
        <f>IF(E6=0,"s/d",B6/E6)</f>
        <v/>
      </c>
    </row>
    <row r="7" ht="15" customHeight="1" s="12">
      <c r="A7" s="11" t="inlineStr">
        <is>
          <t>Usa smartphone como dispositivo principal</t>
        </is>
      </c>
      <c r="B7" s="11">
        <f>COUNTIFS(Datos!$B$2:$B$8,"Productor",Datos!$M$2:$M$8,"S")</f>
        <v/>
      </c>
      <c r="C7" s="11">
        <f>COUNTIFS(Datos!$B$2:$B$8,"Productor",Datos!$M$2:$M$8,"N")</f>
        <v/>
      </c>
      <c r="D7" s="11">
        <f>COUNTIFS(Datos!$B$2:$B$8,"Productor",Datos!$M$2:$M$8,"NR")</f>
        <v/>
      </c>
      <c r="E7" s="11">
        <f>B7+C7</f>
        <v/>
      </c>
      <c r="F7" s="18">
        <f>B7/COUNTIF(Datos!$B$2:$B$8,"Productor")</f>
        <v/>
      </c>
      <c r="G7" s="18">
        <f>IF(E7=0,"s/d",B7/E7)</f>
        <v/>
      </c>
    </row>
    <row r="8" ht="15" customHeight="1" s="12">
      <c r="A8" s="11" t="inlineStr">
        <is>
          <t>Usa laptop/PC</t>
        </is>
      </c>
      <c r="B8" s="11">
        <f>COUNTIFS(Datos!$B$2:$B$8,"Productor",Datos!$N$2:$N$8,"S")</f>
        <v/>
      </c>
      <c r="C8" s="11">
        <f>COUNTIFS(Datos!$B$2:$B$8,"Productor",Datos!$N$2:$N$8,"N")</f>
        <v/>
      </c>
      <c r="D8" s="11">
        <f>COUNTIFS(Datos!$B$2:$B$8,"Productor",Datos!$N$2:$N$8,"NR")</f>
        <v/>
      </c>
      <c r="E8" s="11">
        <f>B8+C8</f>
        <v/>
      </c>
      <c r="F8" s="18">
        <f>B8/COUNTIF(Datos!$B$2:$B$8,"Productor")</f>
        <v/>
      </c>
      <c r="G8" s="18">
        <f>IF(E8=0,"s/d",B8/E8)</f>
        <v/>
      </c>
    </row>
    <row r="9" ht="15" customHeight="1" s="12">
      <c r="A9" s="11" t="inlineStr">
        <is>
          <t>Desea alertas automáticas en el celular</t>
        </is>
      </c>
      <c r="B9" s="11">
        <f>COUNTIFS(Datos!$B$2:$B$8,"Productor",Datos!$Y$2:$Y$8,"S")</f>
        <v/>
      </c>
      <c r="C9" s="11">
        <f>COUNTIFS(Datos!$B$2:$B$8,"Productor",Datos!$Y$2:$Y$8,"N")</f>
        <v/>
      </c>
      <c r="D9" s="11">
        <f>COUNTIFS(Datos!$B$2:$B$8,"Productor",Datos!$Y$2:$Y$8,"NR")</f>
        <v/>
      </c>
      <c r="E9" s="11">
        <f>B9+C9</f>
        <v/>
      </c>
      <c r="F9" s="18">
        <f>B9/COUNTIF(Datos!$B$2:$B$8,"Productor")</f>
        <v/>
      </c>
      <c r="G9" s="18">
        <f>IF(E9=0,"s/d",B9/E9)</f>
        <v/>
      </c>
    </row>
    <row r="10" ht="15" customHeight="1" s="12">
      <c r="A10" s="11" t="inlineStr">
        <is>
          <t>Dispuesto a pagar suscripción</t>
        </is>
      </c>
      <c r="B10" s="11">
        <f>COUNTIFS(Datos!$B$2:$B$8,"Productor",Datos!$Z$2:$Z$8,"S")</f>
        <v/>
      </c>
      <c r="C10" s="11">
        <f>COUNTIFS(Datos!$B$2:$B$8,"Productor",Datos!$Z$2:$Z$8,"N")</f>
        <v/>
      </c>
      <c r="D10" s="11">
        <f>COUNTIFS(Datos!$B$2:$B$8,"Productor",Datos!$Z$2:$Z$8,"NR")</f>
        <v/>
      </c>
      <c r="E10" s="11">
        <f>B10+C10</f>
        <v/>
      </c>
      <c r="F10" s="18">
        <f>B10/COUNTIF(Datos!$B$2:$B$8,"Productor")</f>
        <v/>
      </c>
      <c r="G10" s="18">
        <f>IF(E10=0,"s/d",B10/E10)</f>
        <v/>
      </c>
    </row>
    <row r="11" ht="15" customHeight="1" s="12">
      <c r="A11" s="11" t="inlineStr">
        <is>
          <t>Usa redes sociales (Instagram/Facebook)</t>
        </is>
      </c>
      <c r="B11" s="11">
        <f>COUNTIFS(Datos!$B$2:$B$8,"Productor",Datos!$O$2:$O$8,"S")</f>
        <v/>
      </c>
      <c r="C11" s="11">
        <f>COUNTIFS(Datos!$B$2:$B$8,"Productor",Datos!$O$2:$O$8,"N")</f>
        <v/>
      </c>
      <c r="D11" s="11">
        <f>COUNTIFS(Datos!$B$2:$B$8,"Productor",Datos!$O$2:$O$8,"NR")</f>
        <v/>
      </c>
      <c r="E11" s="11">
        <f>B11+C11</f>
        <v/>
      </c>
      <c r="F11" s="18">
        <f>B11/COUNTIF(Datos!$B$2:$B$8,"Productor")</f>
        <v/>
      </c>
      <c r="G11" s="18">
        <f>IF(E11=0,"s/d",B11/E11)</f>
        <v/>
      </c>
    </row>
    <row r="12" ht="15" customHeight="1" s="12">
      <c r="A12" s="11" t="inlineStr">
        <is>
          <t>Usa sensores/IoT</t>
        </is>
      </c>
      <c r="B12" s="11">
        <f>COUNTIFS(Datos!$B$2:$B$8,"Productor",Datos!$P$2:$P$8,"S")</f>
        <v/>
      </c>
      <c r="C12" s="11">
        <f>COUNTIFS(Datos!$B$2:$B$8,"Productor",Datos!$P$2:$P$8,"N")</f>
        <v/>
      </c>
      <c r="D12" s="11">
        <f>COUNTIFS(Datos!$B$2:$B$8,"Productor",Datos!$P$2:$P$8,"NR")</f>
        <v/>
      </c>
      <c r="E12" s="11">
        <f>B12+C12</f>
        <v/>
      </c>
      <c r="F12" s="18">
        <f>B12/COUNTIF(Datos!$B$2:$B$8,"Productor")</f>
        <v/>
      </c>
      <c r="G12" s="18">
        <f>IF(E12=0,"s/d",B12/E12)</f>
        <v/>
      </c>
    </row>
    <row r="13" ht="15" customHeight="1" s="12">
      <c r="A13" s="11" t="inlineStr">
        <is>
          <t>Dificultad en monitoreo de variables del proceso</t>
        </is>
      </c>
      <c r="B13" s="11">
        <f>COUNTIFS(Datos!$B$2:$B$8,"Productor",Datos!$Q$2:$Q$8,"S")</f>
        <v/>
      </c>
      <c r="C13" s="11">
        <f>COUNTIFS(Datos!$B$2:$B$8,"Productor",Datos!$Q$2:$Q$8,"N")</f>
        <v/>
      </c>
      <c r="D13" s="11">
        <f>COUNTIFS(Datos!$B$2:$B$8,"Productor",Datos!$Q$2:$Q$8,"NR")</f>
        <v/>
      </c>
      <c r="E13" s="11">
        <f>B13+C13</f>
        <v/>
      </c>
      <c r="F13" s="18">
        <f>B13/COUNTIF(Datos!$B$2:$B$8,"Productor")</f>
        <v/>
      </c>
      <c r="G13" s="18">
        <f>IF(E13=0,"s/d",B13/E13)</f>
        <v/>
      </c>
    </row>
    <row r="14" ht="15" customHeight="1" s="12">
      <c r="A14" s="11" t="inlineStr">
        <is>
          <t>Errores/desfases en registros de stock o lotes</t>
        </is>
      </c>
      <c r="B14" s="11">
        <f>COUNTIFS(Datos!$B$2:$B$8,"Productor",Datos!$R$2:$R$8,"S")</f>
        <v/>
      </c>
      <c r="C14" s="11">
        <f>COUNTIFS(Datos!$B$2:$B$8,"Productor",Datos!$R$2:$R$8,"N")</f>
        <v/>
      </c>
      <c r="D14" s="11">
        <f>COUNTIFS(Datos!$B$2:$B$8,"Productor",Datos!$R$2:$R$8,"NR")</f>
        <v/>
      </c>
      <c r="E14" s="11">
        <f>B14+C14</f>
        <v/>
      </c>
      <c r="F14" s="18">
        <f>B14/COUNTIF(Datos!$B$2:$B$8,"Productor")</f>
        <v/>
      </c>
      <c r="G14" s="18">
        <f>IF(E14=0,"s/d",B14/E14)</f>
        <v/>
      </c>
    </row>
    <row r="15" ht="15" customHeight="1" s="12">
      <c r="A15" s="11" t="inlineStr">
        <is>
          <t>Supervisión presencial frecuente en bodega</t>
        </is>
      </c>
      <c r="B15" s="11">
        <f>COUNTIFS(Datos!$B$2:$B$8,"Productor",Datos!$S$2:$S$8,"S")</f>
        <v/>
      </c>
      <c r="C15" s="11">
        <f>COUNTIFS(Datos!$B$2:$B$8,"Productor",Datos!$S$2:$S$8,"N")</f>
        <v/>
      </c>
      <c r="D15" s="11">
        <f>COUNTIFS(Datos!$B$2:$B$8,"Productor",Datos!$S$2:$S$8,"NR")</f>
        <v/>
      </c>
      <c r="E15" s="11">
        <f>B15+C15</f>
        <v/>
      </c>
      <c r="F15" s="18">
        <f>B15/COUNTIF(Datos!$B$2:$B$8,"Productor")</f>
        <v/>
      </c>
      <c r="G15" s="18">
        <f>IF(E15=0,"s/d",B15/E15)</f>
        <v/>
      </c>
    </row>
    <row r="16" ht="15" customHeight="1" s="12">
      <c r="A16" s="11" t="inlineStr">
        <is>
          <t>Quedó sin stock con clientes esperando</t>
        </is>
      </c>
      <c r="B16" s="11">
        <f>COUNTIFS(Datos!$B$2:$B$8,"Productor",Datos!$T$2:$T$8,"S")</f>
        <v/>
      </c>
      <c r="C16" s="11">
        <f>COUNTIFS(Datos!$B$2:$B$8,"Productor",Datos!$T$2:$T$8,"N")</f>
        <v/>
      </c>
      <c r="D16" s="11">
        <f>COUNTIFS(Datos!$B$2:$B$8,"Productor",Datos!$T$2:$T$8,"NR")</f>
        <v/>
      </c>
      <c r="E16" s="11">
        <f>B16+C16</f>
        <v/>
      </c>
      <c r="F16" s="18">
        <f>B16/COUNTIF(Datos!$B$2:$B$8,"Productor")</f>
        <v/>
      </c>
      <c r="G16" s="18">
        <f>IF(E16=0,"s/d",B16/E16)</f>
        <v/>
      </c>
    </row>
    <row r="17" ht="15" customHeight="1" s="12">
      <c r="A17" s="11" t="inlineStr">
        <is>
          <t>Abandonó una herramienta digital previa</t>
        </is>
      </c>
      <c r="B17" s="11">
        <f>COUNTIFS(Datos!$B$2:$B$8,"Productor",Datos!$V$2:$V$8,"S")</f>
        <v/>
      </c>
      <c r="C17" s="11">
        <f>COUNTIFS(Datos!$B$2:$B$8,"Productor",Datos!$V$2:$V$8,"N")</f>
        <v/>
      </c>
      <c r="D17" s="11">
        <f>COUNTIFS(Datos!$B$2:$B$8,"Productor",Datos!$V$2:$V$8,"NR")</f>
        <v/>
      </c>
      <c r="E17" s="11">
        <f>B17+C17</f>
        <v/>
      </c>
      <c r="F17" s="18">
        <f>B17/COUNTIF(Datos!$B$2:$B$8,"Productor")</f>
        <v/>
      </c>
      <c r="G17" s="18">
        <f>IF(E17=0,"s/d",B17/E17)</f>
        <v/>
      </c>
    </row>
    <row r="18" ht="15" customHeight="1" s="12">
      <c r="A18" s="11" t="inlineStr">
        <is>
          <t>Decide reposición por experiencia/intuición</t>
        </is>
      </c>
      <c r="B18" s="11">
        <f>COUNTIFS(Datos!$B$2:$B$8,"Productor",Datos!$W$2:$W$8,"S")</f>
        <v/>
      </c>
      <c r="C18" s="11">
        <f>COUNTIFS(Datos!$B$2:$B$8,"Productor",Datos!$W$2:$W$8,"N")</f>
        <v/>
      </c>
      <c r="D18" s="11">
        <f>COUNTIFS(Datos!$B$2:$B$8,"Productor",Datos!$W$2:$W$8,"NR")</f>
        <v/>
      </c>
      <c r="E18" s="11">
        <f>B18+C18</f>
        <v/>
      </c>
      <c r="F18" s="18">
        <f>B18/COUNTIF(Datos!$B$2:$B$8,"Productor")</f>
        <v/>
      </c>
      <c r="G18" s="18">
        <f>IF(E18=0,"s/d",B18/E18)</f>
        <v/>
      </c>
    </row>
    <row r="19" ht="15" customHeight="1" s="12">
      <c r="A19" s="11" t="inlineStr">
        <is>
          <t>Considera promociones de proveedores</t>
        </is>
      </c>
      <c r="B19" s="11">
        <f>COUNTIFS(Datos!$B$2:$B$8,"Productor",Datos!$X$2:$X$8,"S")</f>
        <v/>
      </c>
      <c r="C19" s="11">
        <f>COUNTIFS(Datos!$B$2:$B$8,"Productor",Datos!$X$2:$X$8,"N")</f>
        <v/>
      </c>
      <c r="D19" s="11">
        <f>COUNTIFS(Datos!$B$2:$B$8,"Productor",Datos!$X$2:$X$8,"NR")</f>
        <v/>
      </c>
      <c r="E19" s="11">
        <f>B19+C19</f>
        <v/>
      </c>
      <c r="F19" s="18">
        <f>B19/COUNTIF(Datos!$B$2:$B$8,"Productor")</f>
        <v/>
      </c>
      <c r="G19" s="18">
        <f>IF(E19=0,"s/d",B19/E19)</f>
        <v/>
      </c>
    </row>
    <row r="22" ht="15" customHeight="1" s="12">
      <c r="A22" s="19" t="inlineStr">
        <is>
          <t>Medidas numéricas</t>
        </is>
      </c>
    </row>
    <row r="23" ht="15" customHeight="1" s="12">
      <c r="A23" s="11" t="inlineStr">
        <is>
          <t>Entrevistados (n)</t>
        </is>
      </c>
      <c r="B23" s="20">
        <f>COUNTIF(Datos!$B$2:$B$8,"Productor")</f>
        <v/>
      </c>
    </row>
    <row r="24" ht="15" customHeight="1" s="12">
      <c r="A24" s="11" t="inlineStr">
        <is>
          <t>Edad mínima</t>
        </is>
      </c>
      <c r="B24" s="20">
        <f>_xlfn.MINIFS(Datos!$D$2:$D$8,Datos!$B$2:$B$8,"Productor")</f>
        <v/>
      </c>
    </row>
    <row r="25" ht="15" customHeight="1" s="12">
      <c r="A25" s="11" t="inlineStr">
        <is>
          <t>Edad máxima</t>
        </is>
      </c>
      <c r="B25" s="20">
        <f>_xlfn.MAXIFS(Datos!$D$2:$D$8,Datos!$B$2:$B$8,"Productor")</f>
        <v/>
      </c>
    </row>
    <row r="26" ht="15" customHeight="1" s="12">
      <c r="A26" s="11" t="inlineStr">
        <is>
          <t>Edad promedio</t>
        </is>
      </c>
      <c r="B26" s="20">
        <f>AVERAGEIFS(Datos!$D$2:$D$8,Datos!$B$2:$B$8,"Productor")</f>
        <v/>
      </c>
    </row>
    <row r="27" ht="15" customHeight="1" s="12">
      <c r="A27" s="11" t="inlineStr">
        <is>
          <t>Pago mínimo propuesto (promedio, S/)</t>
        </is>
      </c>
      <c r="B27" s="20">
        <f>AVERAGEIFS(Datos!$G$2:$G$8,Datos!$B$2:$B$8,"Productor")</f>
        <v/>
      </c>
    </row>
    <row r="28" ht="15" customHeight="1" s="12">
      <c r="A28" s="11" t="inlineStr">
        <is>
          <t>Pago máximo propuesto (promedio, S/)</t>
        </is>
      </c>
      <c r="B28" s="20">
        <f>AVERAGEIFS(Datos!$H$2:$H$8,Datos!$B$2:$B$8,"Productor")</f>
        <v/>
      </c>
    </row>
    <row r="29" ht="15" customHeight="1" s="12">
      <c r="A29" s="11" t="inlineStr">
        <is>
          <t>Pago medio del rango (promedio, S/)</t>
        </is>
      </c>
      <c r="B29" s="20">
        <f>(AVERAGEIFS(Datos!$G$2:$G$8,Datos!$B$2:$B$8,"Productor")+AVERAGEIFS(Datos!$H$2:$H$8,Datos!$B$2:$B$8,"Productor"))/2</f>
        <v/>
      </c>
    </row>
    <row r="30" ht="15" customHeight="1" s="12">
      <c r="A30" s="11" t="inlineStr">
        <is>
          <t>Duración promedio de entrevista (min)</t>
        </is>
      </c>
      <c r="B30" s="20">
        <f>AVERAGEIFS(Datos!$I$2:$I$8,Datos!$B$2:$B$8,"Productor")</f>
        <v/>
      </c>
    </row>
    <row r="31" ht="15" customHeight="1" s="12">
      <c r="A31" s="11" t="inlineStr">
        <is>
          <t>Frecuencia de quiebre de stock promedio (veces/mes)</t>
        </is>
      </c>
      <c r="B31" s="20">
        <f>IFERROR(AVERAGEIFS(Datos!$U$2:$U$8,Datos!$B$2:$B$8,"Productor"),"s/d")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11" min="1" max="1"/>
    <col width="16" customWidth="1" style="11" min="2" max="7"/>
  </cols>
  <sheetData>
    <row r="1" ht="16.15" customHeight="1" s="12">
      <c r="A1" s="16" t="inlineStr">
        <is>
          <t>Estadísticas — Segmento Comercializador</t>
        </is>
      </c>
    </row>
    <row r="3" ht="15" customHeight="1" s="12">
      <c r="A3" s="17" t="inlineStr">
        <is>
          <t>Variable</t>
        </is>
      </c>
      <c r="B3" s="17" t="inlineStr">
        <is>
          <t>Sí</t>
        </is>
      </c>
      <c r="C3" s="17" t="inlineStr">
        <is>
          <t>No</t>
        </is>
      </c>
      <c r="D3" s="17" t="inlineStr">
        <is>
          <t>NR</t>
        </is>
      </c>
      <c r="E3" s="17" t="inlineStr">
        <is>
          <t>n con dato</t>
        </is>
      </c>
      <c r="F3" s="17" t="inlineStr">
        <is>
          <t>% Sí sobre n total</t>
        </is>
      </c>
      <c r="G3" s="17" t="inlineStr">
        <is>
          <t>% Sí sobre n con dato</t>
        </is>
      </c>
    </row>
    <row r="4" ht="15" customHeight="1" s="12">
      <c r="A4" s="11" t="inlineStr">
        <is>
          <t>Usa cuaderno/papel</t>
        </is>
      </c>
      <c r="B4" s="11">
        <f>COUNTIFS(Datos!$B$2:$B$8,"Comercializador",Datos!$J$2:$J$8,"S")</f>
        <v/>
      </c>
      <c r="C4" s="11">
        <f>COUNTIFS(Datos!$B$2:$B$8,"Comercializador",Datos!$J$2:$J$8,"N")</f>
        <v/>
      </c>
      <c r="D4" s="11">
        <f>COUNTIFS(Datos!$B$2:$B$8,"Comercializador",Datos!$J$2:$J$8,"NR")</f>
        <v/>
      </c>
      <c r="E4" s="11">
        <f>B4+C4</f>
        <v/>
      </c>
      <c r="F4" s="18">
        <f>B4/COUNTIF(Datos!$B$2:$B$8,"Comercializador")</f>
        <v/>
      </c>
      <c r="G4" s="18">
        <f>IF(E4=0,"s/d",B4/E4)</f>
        <v/>
      </c>
    </row>
    <row r="5" ht="15" customHeight="1" s="12">
      <c r="A5" s="11" t="inlineStr">
        <is>
          <t>Usa Excel/hoja de cálculo</t>
        </is>
      </c>
      <c r="B5" s="11">
        <f>COUNTIFS(Datos!$B$2:$B$8,"Comercializador",Datos!$K$2:$K$8,"S")</f>
        <v/>
      </c>
      <c r="C5" s="11">
        <f>COUNTIFS(Datos!$B$2:$B$8,"Comercializador",Datos!$K$2:$K$8,"N")</f>
        <v/>
      </c>
      <c r="D5" s="11">
        <f>COUNTIFS(Datos!$B$2:$B$8,"Comercializador",Datos!$K$2:$K$8,"NR")</f>
        <v/>
      </c>
      <c r="E5" s="11">
        <f>B5+C5</f>
        <v/>
      </c>
      <c r="F5" s="18">
        <f>B5/COUNTIF(Datos!$B$2:$B$8,"Comercializador")</f>
        <v/>
      </c>
      <c r="G5" s="18">
        <f>IF(E5=0,"s/d",B5/E5)</f>
        <v/>
      </c>
    </row>
    <row r="6" ht="15" customHeight="1" s="12">
      <c r="A6" s="11" t="inlineStr">
        <is>
          <t>Usa WhatsApp para pedidos/proveedores</t>
        </is>
      </c>
      <c r="B6" s="11">
        <f>COUNTIFS(Datos!$B$2:$B$8,"Comercializador",Datos!$L$2:$L$8,"S")</f>
        <v/>
      </c>
      <c r="C6" s="11">
        <f>COUNTIFS(Datos!$B$2:$B$8,"Comercializador",Datos!$L$2:$L$8,"N")</f>
        <v/>
      </c>
      <c r="D6" s="11">
        <f>COUNTIFS(Datos!$B$2:$B$8,"Comercializador",Datos!$L$2:$L$8,"NR")</f>
        <v/>
      </c>
      <c r="E6" s="11">
        <f>B6+C6</f>
        <v/>
      </c>
      <c r="F6" s="18">
        <f>B6/COUNTIF(Datos!$B$2:$B$8,"Comercializador")</f>
        <v/>
      </c>
      <c r="G6" s="18">
        <f>IF(E6=0,"s/d",B6/E6)</f>
        <v/>
      </c>
    </row>
    <row r="7" ht="15" customHeight="1" s="12">
      <c r="A7" s="11" t="inlineStr">
        <is>
          <t>Usa smartphone como dispositivo principal</t>
        </is>
      </c>
      <c r="B7" s="11">
        <f>COUNTIFS(Datos!$B$2:$B$8,"Comercializador",Datos!$M$2:$M$8,"S")</f>
        <v/>
      </c>
      <c r="C7" s="11">
        <f>COUNTIFS(Datos!$B$2:$B$8,"Comercializador",Datos!$M$2:$M$8,"N")</f>
        <v/>
      </c>
      <c r="D7" s="11">
        <f>COUNTIFS(Datos!$B$2:$B$8,"Comercializador",Datos!$M$2:$M$8,"NR")</f>
        <v/>
      </c>
      <c r="E7" s="11">
        <f>B7+C7</f>
        <v/>
      </c>
      <c r="F7" s="18">
        <f>B7/COUNTIF(Datos!$B$2:$B$8,"Comercializador")</f>
        <v/>
      </c>
      <c r="G7" s="18">
        <f>IF(E7=0,"s/d",B7/E7)</f>
        <v/>
      </c>
    </row>
    <row r="8" ht="15" customHeight="1" s="12">
      <c r="A8" s="11" t="inlineStr">
        <is>
          <t>Usa laptop/PC</t>
        </is>
      </c>
      <c r="B8" s="11">
        <f>COUNTIFS(Datos!$B$2:$B$8,"Comercializador",Datos!$N$2:$N$8,"S")</f>
        <v/>
      </c>
      <c r="C8" s="11">
        <f>COUNTIFS(Datos!$B$2:$B$8,"Comercializador",Datos!$N$2:$N$8,"N")</f>
        <v/>
      </c>
      <c r="D8" s="11">
        <f>COUNTIFS(Datos!$B$2:$B$8,"Comercializador",Datos!$N$2:$N$8,"NR")</f>
        <v/>
      </c>
      <c r="E8" s="11">
        <f>B8+C8</f>
        <v/>
      </c>
      <c r="F8" s="18">
        <f>B8/COUNTIF(Datos!$B$2:$B$8,"Comercializador")</f>
        <v/>
      </c>
      <c r="G8" s="18">
        <f>IF(E8=0,"s/d",B8/E8)</f>
        <v/>
      </c>
    </row>
    <row r="9" ht="15" customHeight="1" s="12">
      <c r="A9" s="11" t="inlineStr">
        <is>
          <t>Desea alertas automáticas en el celular</t>
        </is>
      </c>
      <c r="B9" s="11">
        <f>COUNTIFS(Datos!$B$2:$B$8,"Comercializador",Datos!$Y$2:$Y$8,"S")</f>
        <v/>
      </c>
      <c r="C9" s="11">
        <f>COUNTIFS(Datos!$B$2:$B$8,"Comercializador",Datos!$Y$2:$Y$8,"N")</f>
        <v/>
      </c>
      <c r="D9" s="11">
        <f>COUNTIFS(Datos!$B$2:$B$8,"Comercializador",Datos!$Y$2:$Y$8,"NR")</f>
        <v/>
      </c>
      <c r="E9" s="11">
        <f>B9+C9</f>
        <v/>
      </c>
      <c r="F9" s="18">
        <f>B9/COUNTIF(Datos!$B$2:$B$8,"Comercializador")</f>
        <v/>
      </c>
      <c r="G9" s="18">
        <f>IF(E9=0,"s/d",B9/E9)</f>
        <v/>
      </c>
    </row>
    <row r="10" ht="15" customHeight="1" s="12">
      <c r="A10" s="11" t="inlineStr">
        <is>
          <t>Dispuesto a pagar suscripción</t>
        </is>
      </c>
      <c r="B10" s="11">
        <f>COUNTIFS(Datos!$B$2:$B$8,"Comercializador",Datos!$Z$2:$Z$8,"S")</f>
        <v/>
      </c>
      <c r="C10" s="11">
        <f>COUNTIFS(Datos!$B$2:$B$8,"Comercializador",Datos!$Z$2:$Z$8,"N")</f>
        <v/>
      </c>
      <c r="D10" s="11">
        <f>COUNTIFS(Datos!$B$2:$B$8,"Comercializador",Datos!$Z$2:$Z$8,"NR")</f>
        <v/>
      </c>
      <c r="E10" s="11">
        <f>B10+C10</f>
        <v/>
      </c>
      <c r="F10" s="18">
        <f>B10/COUNTIF(Datos!$B$2:$B$8,"Comercializador")</f>
        <v/>
      </c>
      <c r="G10" s="18">
        <f>IF(E10=0,"s/d",B10/E10)</f>
        <v/>
      </c>
    </row>
    <row r="11" ht="15" customHeight="1" s="12">
      <c r="A11" s="11" t="inlineStr">
        <is>
          <t>Usa redes sociales (Instagram/Facebook)</t>
        </is>
      </c>
      <c r="B11" s="11">
        <f>COUNTIFS(Datos!$B$2:$B$8,"Comercializador",Datos!$O$2:$O$8,"S")</f>
        <v/>
      </c>
      <c r="C11" s="11">
        <f>COUNTIFS(Datos!$B$2:$B$8,"Comercializador",Datos!$O$2:$O$8,"N")</f>
        <v/>
      </c>
      <c r="D11" s="11">
        <f>COUNTIFS(Datos!$B$2:$B$8,"Comercializador",Datos!$O$2:$O$8,"NR")</f>
        <v/>
      </c>
      <c r="E11" s="11">
        <f>B11+C11</f>
        <v/>
      </c>
      <c r="F11" s="18">
        <f>B11/COUNTIF(Datos!$B$2:$B$8,"Comercializador")</f>
        <v/>
      </c>
      <c r="G11" s="18">
        <f>IF(E11=0,"s/d",B11/E11)</f>
        <v/>
      </c>
    </row>
    <row r="12" ht="15" customHeight="1" s="12">
      <c r="A12" s="11" t="inlineStr">
        <is>
          <t>Usa sensores/IoT</t>
        </is>
      </c>
      <c r="B12" s="11">
        <f>COUNTIFS(Datos!$B$2:$B$8,"Comercializador",Datos!$P$2:$P$8,"S")</f>
        <v/>
      </c>
      <c r="C12" s="11">
        <f>COUNTIFS(Datos!$B$2:$B$8,"Comercializador",Datos!$P$2:$P$8,"N")</f>
        <v/>
      </c>
      <c r="D12" s="11">
        <f>COUNTIFS(Datos!$B$2:$B$8,"Comercializador",Datos!$P$2:$P$8,"NR")</f>
        <v/>
      </c>
      <c r="E12" s="11">
        <f>B12+C12</f>
        <v/>
      </c>
      <c r="F12" s="18">
        <f>B12/COUNTIF(Datos!$B$2:$B$8,"Comercializador")</f>
        <v/>
      </c>
      <c r="G12" s="18">
        <f>IF(E12=0,"s/d",B12/E12)</f>
        <v/>
      </c>
    </row>
    <row r="13" ht="15" customHeight="1" s="12">
      <c r="A13" s="11" t="inlineStr">
        <is>
          <t>Dificultad en monitoreo de variables del proceso</t>
        </is>
      </c>
      <c r="B13" s="11">
        <f>COUNTIFS(Datos!$B$2:$B$8,"Comercializador",Datos!$Q$2:$Q$8,"S")</f>
        <v/>
      </c>
      <c r="C13" s="11">
        <f>COUNTIFS(Datos!$B$2:$B$8,"Comercializador",Datos!$Q$2:$Q$8,"N")</f>
        <v/>
      </c>
      <c r="D13" s="11">
        <f>COUNTIFS(Datos!$B$2:$B$8,"Comercializador",Datos!$Q$2:$Q$8,"NR")</f>
        <v/>
      </c>
      <c r="E13" s="11">
        <f>B13+C13</f>
        <v/>
      </c>
      <c r="F13" s="18">
        <f>B13/COUNTIF(Datos!$B$2:$B$8,"Comercializador")</f>
        <v/>
      </c>
      <c r="G13" s="18">
        <f>IF(E13=0,"s/d",B13/E13)</f>
        <v/>
      </c>
    </row>
    <row r="14" ht="15" customHeight="1" s="12">
      <c r="A14" s="11" t="inlineStr">
        <is>
          <t>Errores/desfases en registros de stock o lotes</t>
        </is>
      </c>
      <c r="B14" s="11">
        <f>COUNTIFS(Datos!$B$2:$B$8,"Comercializador",Datos!$R$2:$R$8,"S")</f>
        <v/>
      </c>
      <c r="C14" s="11">
        <f>COUNTIFS(Datos!$B$2:$B$8,"Comercializador",Datos!$R$2:$R$8,"N")</f>
        <v/>
      </c>
      <c r="D14" s="11">
        <f>COUNTIFS(Datos!$B$2:$B$8,"Comercializador",Datos!$R$2:$R$8,"NR")</f>
        <v/>
      </c>
      <c r="E14" s="11">
        <f>B14+C14</f>
        <v/>
      </c>
      <c r="F14" s="18">
        <f>B14/COUNTIF(Datos!$B$2:$B$8,"Comercializador")</f>
        <v/>
      </c>
      <c r="G14" s="18">
        <f>IF(E14=0,"s/d",B14/E14)</f>
        <v/>
      </c>
    </row>
    <row r="15" ht="15" customHeight="1" s="12">
      <c r="A15" s="11" t="inlineStr">
        <is>
          <t>Supervisión presencial frecuente en bodega</t>
        </is>
      </c>
      <c r="B15" s="11">
        <f>COUNTIFS(Datos!$B$2:$B$8,"Comercializador",Datos!$S$2:$S$8,"S")</f>
        <v/>
      </c>
      <c r="C15" s="11">
        <f>COUNTIFS(Datos!$B$2:$B$8,"Comercializador",Datos!$S$2:$S$8,"N")</f>
        <v/>
      </c>
      <c r="D15" s="11">
        <f>COUNTIFS(Datos!$B$2:$B$8,"Comercializador",Datos!$S$2:$S$8,"NR")</f>
        <v/>
      </c>
      <c r="E15" s="11">
        <f>B15+C15</f>
        <v/>
      </c>
      <c r="F15" s="18">
        <f>B15/COUNTIF(Datos!$B$2:$B$8,"Comercializador")</f>
        <v/>
      </c>
      <c r="G15" s="18">
        <f>IF(E15=0,"s/d",B15/E15)</f>
        <v/>
      </c>
    </row>
    <row r="16" ht="15" customHeight="1" s="12">
      <c r="A16" s="11" t="inlineStr">
        <is>
          <t>Quedó sin stock con clientes esperando</t>
        </is>
      </c>
      <c r="B16" s="11">
        <f>COUNTIFS(Datos!$B$2:$B$8,"Comercializador",Datos!$T$2:$T$8,"S")</f>
        <v/>
      </c>
      <c r="C16" s="11">
        <f>COUNTIFS(Datos!$B$2:$B$8,"Comercializador",Datos!$T$2:$T$8,"N")</f>
        <v/>
      </c>
      <c r="D16" s="11">
        <f>COUNTIFS(Datos!$B$2:$B$8,"Comercializador",Datos!$T$2:$T$8,"NR")</f>
        <v/>
      </c>
      <c r="E16" s="11">
        <f>B16+C16</f>
        <v/>
      </c>
      <c r="F16" s="18">
        <f>B16/COUNTIF(Datos!$B$2:$B$8,"Comercializador")</f>
        <v/>
      </c>
      <c r="G16" s="18">
        <f>IF(E16=0,"s/d",B16/E16)</f>
        <v/>
      </c>
    </row>
    <row r="17" ht="15" customHeight="1" s="12">
      <c r="A17" s="11" t="inlineStr">
        <is>
          <t>Abandonó una herramienta digital previa</t>
        </is>
      </c>
      <c r="B17" s="11">
        <f>COUNTIFS(Datos!$B$2:$B$8,"Comercializador",Datos!$V$2:$V$8,"S")</f>
        <v/>
      </c>
      <c r="C17" s="11">
        <f>COUNTIFS(Datos!$B$2:$B$8,"Comercializador",Datos!$V$2:$V$8,"N")</f>
        <v/>
      </c>
      <c r="D17" s="11">
        <f>COUNTIFS(Datos!$B$2:$B$8,"Comercializador",Datos!$V$2:$V$8,"NR")</f>
        <v/>
      </c>
      <c r="E17" s="11">
        <f>B17+C17</f>
        <v/>
      </c>
      <c r="F17" s="18">
        <f>B17/COUNTIF(Datos!$B$2:$B$8,"Comercializador")</f>
        <v/>
      </c>
      <c r="G17" s="18">
        <f>IF(E17=0,"s/d",B17/E17)</f>
        <v/>
      </c>
    </row>
    <row r="18" ht="15" customHeight="1" s="12">
      <c r="A18" s="11" t="inlineStr">
        <is>
          <t>Decide reposición por experiencia/intuición</t>
        </is>
      </c>
      <c r="B18" s="11">
        <f>COUNTIFS(Datos!$B$2:$B$8,"Comercializador",Datos!$W$2:$W$8,"S")</f>
        <v/>
      </c>
      <c r="C18" s="11">
        <f>COUNTIFS(Datos!$B$2:$B$8,"Comercializador",Datos!$W$2:$W$8,"N")</f>
        <v/>
      </c>
      <c r="D18" s="11">
        <f>COUNTIFS(Datos!$B$2:$B$8,"Comercializador",Datos!$W$2:$W$8,"NR")</f>
        <v/>
      </c>
      <c r="E18" s="11">
        <f>B18+C18</f>
        <v/>
      </c>
      <c r="F18" s="18">
        <f>B18/COUNTIF(Datos!$B$2:$B$8,"Comercializador")</f>
        <v/>
      </c>
      <c r="G18" s="18">
        <f>IF(E18=0,"s/d",B18/E18)</f>
        <v/>
      </c>
    </row>
    <row r="19" ht="15" customHeight="1" s="12">
      <c r="A19" s="11" t="inlineStr">
        <is>
          <t>Considera promociones de proveedores</t>
        </is>
      </c>
      <c r="B19" s="11">
        <f>COUNTIFS(Datos!$B$2:$B$8,"Comercializador",Datos!$X$2:$X$8,"S")</f>
        <v/>
      </c>
      <c r="C19" s="11">
        <f>COUNTIFS(Datos!$B$2:$B$8,"Comercializador",Datos!$X$2:$X$8,"N")</f>
        <v/>
      </c>
      <c r="D19" s="11">
        <f>COUNTIFS(Datos!$B$2:$B$8,"Comercializador",Datos!$X$2:$X$8,"NR")</f>
        <v/>
      </c>
      <c r="E19" s="11">
        <f>B19+C19</f>
        <v/>
      </c>
      <c r="F19" s="18">
        <f>B19/COUNTIF(Datos!$B$2:$B$8,"Comercializador")</f>
        <v/>
      </c>
      <c r="G19" s="18">
        <f>IF(E19=0,"s/d",B19/E19)</f>
        <v/>
      </c>
    </row>
    <row r="22" ht="15" customHeight="1" s="12">
      <c r="A22" s="19" t="inlineStr">
        <is>
          <t>Medidas numéricas</t>
        </is>
      </c>
    </row>
    <row r="23" ht="15" customHeight="1" s="12">
      <c r="A23" s="11" t="inlineStr">
        <is>
          <t>Entrevistados (n)</t>
        </is>
      </c>
      <c r="B23" s="20">
        <f>COUNTIF(Datos!$B$2:$B$8,"Comercializador")</f>
        <v/>
      </c>
    </row>
    <row r="24" ht="15" customHeight="1" s="12">
      <c r="A24" s="11" t="inlineStr">
        <is>
          <t>Edad mínima</t>
        </is>
      </c>
      <c r="B24" s="20">
        <f>_xlfn.MINIFS(Datos!$D$2:$D$8,Datos!$B$2:$B$8,"Comercializador")</f>
        <v/>
      </c>
    </row>
    <row r="25" ht="15" customHeight="1" s="12">
      <c r="A25" s="11" t="inlineStr">
        <is>
          <t>Edad máxima</t>
        </is>
      </c>
      <c r="B25" s="20">
        <f>_xlfn.MAXIFS(Datos!$D$2:$D$8,Datos!$B$2:$B$8,"Comercializador")</f>
        <v/>
      </c>
    </row>
    <row r="26" ht="15" customHeight="1" s="12">
      <c r="A26" s="11" t="inlineStr">
        <is>
          <t>Edad promedio</t>
        </is>
      </c>
      <c r="B26" s="20">
        <f>AVERAGEIFS(Datos!$D$2:$D$8,Datos!$B$2:$B$8,"Comercializador")</f>
        <v/>
      </c>
    </row>
    <row r="27" ht="15" customHeight="1" s="12">
      <c r="A27" s="11" t="inlineStr">
        <is>
          <t>Pago mínimo propuesto (promedio, S/)</t>
        </is>
      </c>
      <c r="B27" s="20">
        <f>AVERAGEIFS(Datos!$G$2:$G$8,Datos!$B$2:$B$8,"Comercializador")</f>
        <v/>
      </c>
    </row>
    <row r="28" ht="15" customHeight="1" s="12">
      <c r="A28" s="11" t="inlineStr">
        <is>
          <t>Pago máximo propuesto (promedio, S/)</t>
        </is>
      </c>
      <c r="B28" s="20">
        <f>AVERAGEIFS(Datos!$H$2:$H$8,Datos!$B$2:$B$8,"Comercializador")</f>
        <v/>
      </c>
    </row>
    <row r="29" ht="15" customHeight="1" s="12">
      <c r="A29" s="11" t="inlineStr">
        <is>
          <t>Pago medio del rango (promedio, S/)</t>
        </is>
      </c>
      <c r="B29" s="20">
        <f>(AVERAGEIFS(Datos!$G$2:$G$8,Datos!$B$2:$B$8,"Comercializador")+AVERAGEIFS(Datos!$H$2:$H$8,Datos!$B$2:$B$8,"Comercializador"))/2</f>
        <v/>
      </c>
    </row>
    <row r="30" ht="15" customHeight="1" s="12">
      <c r="A30" s="11" t="inlineStr">
        <is>
          <t>Duración promedio de entrevista (min)</t>
        </is>
      </c>
      <c r="B30" s="20">
        <f>AVERAGEIFS(Datos!$I$2:$I$8,Datos!$B$2:$B$8,"Comercializador")</f>
        <v/>
      </c>
    </row>
    <row r="31" ht="15" customHeight="1" s="12">
      <c r="A31" s="11" t="inlineStr">
        <is>
          <t>Frecuencia de quiebre de stock promedio (veces/mes)</t>
        </is>
      </c>
      <c r="B31" s="20">
        <f>IFERROR(AVERAGEIFS(Datos!$U$2:$U$8,Datos!$B$2:$B$8,"Comercializador"),"s/d")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11" min="1" max="1"/>
    <col width="24" customWidth="1" style="11" min="2" max="4"/>
  </cols>
  <sheetData>
    <row r="1" ht="16.15" customHeight="1" s="12">
      <c r="A1" s="16" t="inlineStr">
        <is>
          <t>Comparativo entre segmentos (% de entrevistados que mencionaron el aspecto sobre el n total de cada segmento; s/d = no se indagó en ese segmento)</t>
        </is>
      </c>
    </row>
    <row r="3" ht="41.75" customHeight="1" s="12">
      <c r="A3" s="21" t="inlineStr">
        <is>
          <t>Variable</t>
        </is>
      </c>
      <c r="B3" s="21" t="inlineStr">
        <is>
          <t>Productor (n=3)</t>
        </is>
      </c>
      <c r="C3" s="21" t="inlineStr">
        <is>
          <t>Comercializador (n=4)</t>
        </is>
      </c>
      <c r="D3" s="21" t="inlineStr">
        <is>
          <t>Diferencia (pp) = Productor − Comercializador</t>
        </is>
      </c>
    </row>
    <row r="4" ht="15" customHeight="1" s="12">
      <c r="A4" s="11" t="inlineStr">
        <is>
          <t>Usa cuaderno/papel</t>
        </is>
      </c>
      <c r="B4" s="18">
        <f>IF('Segmento 1 Productor'!E4=0,"s/d",'Segmento 1 Productor'!F4)</f>
        <v/>
      </c>
      <c r="C4" s="18">
        <f>IF('Segmento 2 Comercializador'!E4=0,"s/d",'Segmento 2 Comercializador'!F4)</f>
        <v/>
      </c>
      <c r="D4" s="22">
        <f>IF(OR(B4="s/d",C4="s/d"),"s/d",(B4-C4)*100)</f>
        <v/>
      </c>
    </row>
    <row r="5" ht="15" customHeight="1" s="12">
      <c r="A5" s="11" t="inlineStr">
        <is>
          <t>Usa Excel/hoja de cálculo</t>
        </is>
      </c>
      <c r="B5" s="18">
        <f>IF('Segmento 1 Productor'!E5=0,"s/d",'Segmento 1 Productor'!F5)</f>
        <v/>
      </c>
      <c r="C5" s="18">
        <f>IF('Segmento 2 Comercializador'!E5=0,"s/d",'Segmento 2 Comercializador'!F5)</f>
        <v/>
      </c>
      <c r="D5" s="22">
        <f>IF(OR(B5="s/d",C5="s/d"),"s/d",(B5-C5)*100)</f>
        <v/>
      </c>
    </row>
    <row r="6" ht="15" customHeight="1" s="12">
      <c r="A6" s="11" t="inlineStr">
        <is>
          <t>Usa WhatsApp para pedidos/proveedores</t>
        </is>
      </c>
      <c r="B6" s="18">
        <f>IF('Segmento 1 Productor'!E6=0,"s/d",'Segmento 1 Productor'!F6)</f>
        <v/>
      </c>
      <c r="C6" s="18">
        <f>IF('Segmento 2 Comercializador'!E6=0,"s/d",'Segmento 2 Comercializador'!F6)</f>
        <v/>
      </c>
      <c r="D6" s="22">
        <f>IF(OR(B6="s/d",C6="s/d"),"s/d",(B6-C6)*100)</f>
        <v/>
      </c>
    </row>
    <row r="7" ht="15" customHeight="1" s="12">
      <c r="A7" s="11" t="inlineStr">
        <is>
          <t>Usa smartphone como dispositivo principal</t>
        </is>
      </c>
      <c r="B7" s="18">
        <f>IF('Segmento 1 Productor'!E7=0,"s/d",'Segmento 1 Productor'!F7)</f>
        <v/>
      </c>
      <c r="C7" s="18">
        <f>IF('Segmento 2 Comercializador'!E7=0,"s/d",'Segmento 2 Comercializador'!F7)</f>
        <v/>
      </c>
      <c r="D7" s="22">
        <f>IF(OR(B7="s/d",C7="s/d"),"s/d",(B7-C7)*100)</f>
        <v/>
      </c>
    </row>
    <row r="8" ht="15" customHeight="1" s="12">
      <c r="A8" s="11" t="inlineStr">
        <is>
          <t>Usa laptop/PC</t>
        </is>
      </c>
      <c r="B8" s="18">
        <f>IF('Segmento 1 Productor'!E8=0,"s/d",'Segmento 1 Productor'!F8)</f>
        <v/>
      </c>
      <c r="C8" s="18">
        <f>IF('Segmento 2 Comercializador'!E8=0,"s/d",'Segmento 2 Comercializador'!F8)</f>
        <v/>
      </c>
      <c r="D8" s="22">
        <f>IF(OR(B8="s/d",C8="s/d"),"s/d",(B8-C8)*100)</f>
        <v/>
      </c>
    </row>
    <row r="9" ht="15" customHeight="1" s="12">
      <c r="A9" s="11" t="inlineStr">
        <is>
          <t>Desea alertas automáticas en el celular</t>
        </is>
      </c>
      <c r="B9" s="18">
        <f>IF('Segmento 1 Productor'!E9=0,"s/d",'Segmento 1 Productor'!F9)</f>
        <v/>
      </c>
      <c r="C9" s="18">
        <f>IF('Segmento 2 Comercializador'!E9=0,"s/d",'Segmento 2 Comercializador'!F9)</f>
        <v/>
      </c>
      <c r="D9" s="22">
        <f>IF(OR(B9="s/d",C9="s/d"),"s/d",(B9-C9)*100)</f>
        <v/>
      </c>
    </row>
    <row r="10" ht="15" customHeight="1" s="12">
      <c r="A10" s="11" t="inlineStr">
        <is>
          <t>Dispuesto a pagar suscripción</t>
        </is>
      </c>
      <c r="B10" s="18">
        <f>IF('Segmento 1 Productor'!E10=0,"s/d",'Segmento 1 Productor'!F10)</f>
        <v/>
      </c>
      <c r="C10" s="18">
        <f>IF('Segmento 2 Comercializador'!E10=0,"s/d",'Segmento 2 Comercializador'!F10)</f>
        <v/>
      </c>
      <c r="D10" s="22">
        <f>IF(OR(B10="s/d",C10="s/d"),"s/d",(B10-C10)*100)</f>
        <v/>
      </c>
    </row>
    <row r="11" ht="15" customHeight="1" s="12">
      <c r="A11" s="11" t="inlineStr">
        <is>
          <t>Usa redes sociales (Instagram/Facebook)</t>
        </is>
      </c>
      <c r="B11" s="18">
        <f>IF('Segmento 1 Productor'!E11=0,"s/d",'Segmento 1 Productor'!F11)</f>
        <v/>
      </c>
      <c r="C11" s="18">
        <f>IF('Segmento 2 Comercializador'!E11=0,"s/d",'Segmento 2 Comercializador'!F11)</f>
        <v/>
      </c>
      <c r="D11" s="22">
        <f>IF(OR(B11="s/d",C11="s/d"),"s/d",(B11-C11)*100)</f>
        <v/>
      </c>
    </row>
    <row r="12" ht="15" customHeight="1" s="12">
      <c r="A12" s="11" t="inlineStr">
        <is>
          <t>Usa sensores/IoT</t>
        </is>
      </c>
      <c r="B12" s="18">
        <f>IF('Segmento 1 Productor'!E12=0,"s/d",'Segmento 1 Productor'!F12)</f>
        <v/>
      </c>
      <c r="C12" s="18">
        <f>IF('Segmento 2 Comercializador'!E12=0,"s/d",'Segmento 2 Comercializador'!F12)</f>
        <v/>
      </c>
      <c r="D12" s="22">
        <f>IF(OR(B12="s/d",C12="s/d"),"s/d",(B12-C12)*100)</f>
        <v/>
      </c>
    </row>
    <row r="13" ht="15" customHeight="1" s="12">
      <c r="A13" s="11" t="inlineStr">
        <is>
          <t>Dificultad en monitoreo de variables del proceso</t>
        </is>
      </c>
      <c r="B13" s="18">
        <f>IF('Segmento 1 Productor'!E13=0,"s/d",'Segmento 1 Productor'!F13)</f>
        <v/>
      </c>
      <c r="C13" s="18">
        <f>IF('Segmento 2 Comercializador'!E13=0,"s/d",'Segmento 2 Comercializador'!F13)</f>
        <v/>
      </c>
      <c r="D13" s="22">
        <f>IF(OR(B13="s/d",C13="s/d"),"s/d",(B13-C13)*100)</f>
        <v/>
      </c>
    </row>
    <row r="14" ht="15" customHeight="1" s="12">
      <c r="A14" s="11" t="inlineStr">
        <is>
          <t>Errores/desfases en registros de stock o lotes</t>
        </is>
      </c>
      <c r="B14" s="18">
        <f>IF('Segmento 1 Productor'!E14=0,"s/d",'Segmento 1 Productor'!F14)</f>
        <v/>
      </c>
      <c r="C14" s="18">
        <f>IF('Segmento 2 Comercializador'!E14=0,"s/d",'Segmento 2 Comercializador'!F14)</f>
        <v/>
      </c>
      <c r="D14" s="22">
        <f>IF(OR(B14="s/d",C14="s/d"),"s/d",(B14-C14)*100)</f>
        <v/>
      </c>
    </row>
    <row r="15" ht="15" customHeight="1" s="12">
      <c r="A15" s="11" t="inlineStr">
        <is>
          <t>Supervisión presencial frecuente en bodega</t>
        </is>
      </c>
      <c r="B15" s="18">
        <f>IF('Segmento 1 Productor'!E15=0,"s/d",'Segmento 1 Productor'!F15)</f>
        <v/>
      </c>
      <c r="C15" s="18">
        <f>IF('Segmento 2 Comercializador'!E15=0,"s/d",'Segmento 2 Comercializador'!F15)</f>
        <v/>
      </c>
      <c r="D15" s="22">
        <f>IF(OR(B15="s/d",C15="s/d"),"s/d",(B15-C15)*100)</f>
        <v/>
      </c>
    </row>
    <row r="16" ht="15" customHeight="1" s="12">
      <c r="A16" s="11" t="inlineStr">
        <is>
          <t>Quedó sin stock con clientes esperando</t>
        </is>
      </c>
      <c r="B16" s="18">
        <f>IF('Segmento 1 Productor'!E16=0,"s/d",'Segmento 1 Productor'!F16)</f>
        <v/>
      </c>
      <c r="C16" s="18">
        <f>IF('Segmento 2 Comercializador'!E16=0,"s/d",'Segmento 2 Comercializador'!F16)</f>
        <v/>
      </c>
      <c r="D16" s="22">
        <f>IF(OR(B16="s/d",C16="s/d"),"s/d",(B16-C16)*100)</f>
        <v/>
      </c>
    </row>
    <row r="17" ht="15" customHeight="1" s="12">
      <c r="A17" s="11" t="inlineStr">
        <is>
          <t>Abandonó una herramienta digital previa</t>
        </is>
      </c>
      <c r="B17" s="18">
        <f>IF('Segmento 1 Productor'!E17=0,"s/d",'Segmento 1 Productor'!F17)</f>
        <v/>
      </c>
      <c r="C17" s="18">
        <f>IF('Segmento 2 Comercializador'!E17=0,"s/d",'Segmento 2 Comercializador'!F17)</f>
        <v/>
      </c>
      <c r="D17" s="22">
        <f>IF(OR(B17="s/d",C17="s/d"),"s/d",(B17-C17)*100)</f>
        <v/>
      </c>
    </row>
    <row r="18" ht="15" customHeight="1" s="12">
      <c r="A18" s="11" t="inlineStr">
        <is>
          <t>Decide reposición por experiencia/intuición</t>
        </is>
      </c>
      <c r="B18" s="18">
        <f>IF('Segmento 1 Productor'!E18=0,"s/d",'Segmento 1 Productor'!F18)</f>
        <v/>
      </c>
      <c r="C18" s="18">
        <f>IF('Segmento 2 Comercializador'!E18=0,"s/d",'Segmento 2 Comercializador'!F18)</f>
        <v/>
      </c>
      <c r="D18" s="22">
        <f>IF(OR(B18="s/d",C18="s/d"),"s/d",(B18-C18)*100)</f>
        <v/>
      </c>
    </row>
    <row r="19" ht="15" customHeight="1" s="12">
      <c r="A19" s="11" t="inlineStr">
        <is>
          <t>Considera promociones de proveedores</t>
        </is>
      </c>
      <c r="B19" s="18">
        <f>IF('Segmento 1 Productor'!E19=0,"s/d",'Segmento 1 Productor'!F19)</f>
        <v/>
      </c>
      <c r="C19" s="18">
        <f>IF('Segmento 2 Comercializador'!E19=0,"s/d",'Segmento 2 Comercializador'!F19)</f>
        <v/>
      </c>
      <c r="D19" s="22">
        <f>IF(OR(B19="s/d",C19="s/d"),"s/d",(B19-C19)*100)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1" min="1" max="1"/>
    <col width="18" customWidth="1" style="11" min="2" max="2"/>
    <col width="22" customWidth="1" style="11" min="3" max="3"/>
    <col width="12" customWidth="1" style="11" min="4" max="5"/>
    <col width="14" customWidth="1" style="11" min="6" max="6"/>
    <col width="20" customWidth="1" style="12" min="7" max="7"/>
    <col width="18" customWidth="1" style="12" min="8" max="8"/>
  </cols>
  <sheetData>
    <row r="1" ht="15" customHeight="1" s="12">
      <c r="A1" s="17" t="inlineStr">
        <is>
          <t>ID</t>
        </is>
      </c>
      <c r="B1" s="17" t="inlineStr">
        <is>
          <t>Segmento</t>
        </is>
      </c>
      <c r="C1" s="17" t="inlineStr">
        <is>
          <t>Nombre</t>
        </is>
      </c>
      <c r="D1" s="17" t="inlineStr">
        <is>
          <t>Pago mín.</t>
        </is>
      </c>
      <c r="E1" s="17" t="inlineStr">
        <is>
          <t>Pago máx.</t>
        </is>
      </c>
      <c r="F1" s="17" t="inlineStr">
        <is>
          <t>Punto medio</t>
        </is>
      </c>
      <c r="G1" s="23" t="inlineStr">
        <is>
          <t>Rango (máx − mín)</t>
        </is>
      </c>
      <c r="H1" s="17" t="inlineStr">
        <is>
          <t>Entrevistado</t>
        </is>
      </c>
    </row>
    <row r="2" ht="15" customHeight="1" s="12">
      <c r="A2" s="11">
        <f>Datos!A2</f>
        <v/>
      </c>
      <c r="B2" s="11">
        <f>Datos!B2</f>
        <v/>
      </c>
      <c r="C2" s="11">
        <f>Datos!C2</f>
        <v/>
      </c>
      <c r="D2" s="11">
        <f>Datos!G2</f>
        <v/>
      </c>
      <c r="E2" s="11">
        <f>Datos!H2</f>
        <v/>
      </c>
      <c r="F2" s="11">
        <f>(D2+E2)/2</f>
        <v/>
      </c>
      <c r="G2" s="11">
        <f>E2-D2</f>
        <v/>
      </c>
      <c r="H2" s="11">
        <f>"E"&amp;A2&amp;" "&amp;LEFT(C2,FIND(" ",C2&amp;" ")-1)</f>
        <v/>
      </c>
    </row>
    <row r="3" ht="15" customHeight="1" s="12">
      <c r="A3" s="11">
        <f>Datos!A3</f>
        <v/>
      </c>
      <c r="B3" s="11">
        <f>Datos!B3</f>
        <v/>
      </c>
      <c r="C3" s="11">
        <f>Datos!C3</f>
        <v/>
      </c>
      <c r="D3" s="11">
        <f>Datos!G3</f>
        <v/>
      </c>
      <c r="E3" s="11">
        <f>Datos!H3</f>
        <v/>
      </c>
      <c r="F3" s="11">
        <f>(D3+E3)/2</f>
        <v/>
      </c>
      <c r="G3" s="11">
        <f>E3-D3</f>
        <v/>
      </c>
      <c r="H3" s="11">
        <f>"E"&amp;A3&amp;" "&amp;LEFT(C3,FIND(" ",C3&amp;" ")-1)</f>
        <v/>
      </c>
    </row>
    <row r="4" ht="15" customHeight="1" s="12">
      <c r="A4" s="11">
        <f>Datos!A4</f>
        <v/>
      </c>
      <c r="B4" s="11">
        <f>Datos!B4</f>
        <v/>
      </c>
      <c r="C4" s="11">
        <f>Datos!C4</f>
        <v/>
      </c>
      <c r="D4" s="11">
        <f>Datos!G4</f>
        <v/>
      </c>
      <c r="E4" s="11">
        <f>Datos!H4</f>
        <v/>
      </c>
      <c r="F4" s="11">
        <f>(D4+E4)/2</f>
        <v/>
      </c>
      <c r="G4" s="11">
        <f>E4-D4</f>
        <v/>
      </c>
      <c r="H4" s="11">
        <f>"E"&amp;A4&amp;" "&amp;LEFT(C4,FIND(" ",C4&amp;" ")-1)</f>
        <v/>
      </c>
    </row>
    <row r="5" ht="15" customHeight="1" s="12">
      <c r="A5" s="11">
        <f>Datos!A5</f>
        <v/>
      </c>
      <c r="B5" s="11">
        <f>Datos!B5</f>
        <v/>
      </c>
      <c r="C5" s="11">
        <f>Datos!C5</f>
        <v/>
      </c>
      <c r="D5" s="11">
        <f>Datos!G5</f>
        <v/>
      </c>
      <c r="E5" s="11">
        <f>Datos!H5</f>
        <v/>
      </c>
      <c r="F5" s="11">
        <f>(D5+E5)/2</f>
        <v/>
      </c>
      <c r="G5" s="11">
        <f>E5-D5</f>
        <v/>
      </c>
      <c r="H5" s="11">
        <f>"E"&amp;A5&amp;" "&amp;LEFT(C5,FIND(" ",C5&amp;" ")-1)</f>
        <v/>
      </c>
    </row>
    <row r="6" ht="15" customHeight="1" s="12">
      <c r="A6" s="11">
        <f>Datos!A6</f>
        <v/>
      </c>
      <c r="B6" s="11">
        <f>Datos!B6</f>
        <v/>
      </c>
      <c r="C6" s="11">
        <f>Datos!C6</f>
        <v/>
      </c>
      <c r="D6" s="11">
        <f>Datos!G6</f>
        <v/>
      </c>
      <c r="E6" s="11">
        <f>Datos!H6</f>
        <v/>
      </c>
      <c r="F6" s="11">
        <f>(D6+E6)/2</f>
        <v/>
      </c>
      <c r="G6" s="11">
        <f>E6-D6</f>
        <v/>
      </c>
      <c r="H6" s="11">
        <f>"E"&amp;A6&amp;" "&amp;LEFT(C6,FIND(" ",C6&amp;" ")-1)</f>
        <v/>
      </c>
    </row>
    <row r="7" ht="15" customHeight="1" s="12">
      <c r="A7" s="11">
        <f>Datos!A7</f>
        <v/>
      </c>
      <c r="B7" s="11">
        <f>Datos!B7</f>
        <v/>
      </c>
      <c r="C7" s="11">
        <f>Datos!C7</f>
        <v/>
      </c>
      <c r="D7" s="11">
        <f>Datos!G7</f>
        <v/>
      </c>
      <c r="E7" s="11">
        <f>Datos!H7</f>
        <v/>
      </c>
      <c r="F7" s="11">
        <f>(D7+E7)/2</f>
        <v/>
      </c>
      <c r="G7" s="11">
        <f>E7-D7</f>
        <v/>
      </c>
      <c r="H7" s="11">
        <f>"E"&amp;A7&amp;" "&amp;LEFT(C7,FIND(" ",C7&amp;" ")-1)</f>
        <v/>
      </c>
    </row>
    <row r="8" ht="15" customHeight="1" s="12">
      <c r="A8" s="11">
        <f>Datos!A8</f>
        <v/>
      </c>
      <c r="B8" s="11">
        <f>Datos!B8</f>
        <v/>
      </c>
      <c r="C8" s="11">
        <f>Datos!C8</f>
        <v/>
      </c>
      <c r="D8" s="11">
        <f>Datos!G8</f>
        <v/>
      </c>
      <c r="E8" s="11">
        <f>Datos!H8</f>
        <v/>
      </c>
      <c r="F8" s="11">
        <f>(D8+E8)/2</f>
        <v/>
      </c>
      <c r="G8" s="11">
        <f>E8-D8</f>
        <v/>
      </c>
      <c r="H8" s="11">
        <f>"E"&amp;A8&amp;" "&amp;LEFT(C8,FIND(" ",C8&amp;" ")-1)</f>
        <v/>
      </c>
    </row>
    <row r="10" ht="15" customHeight="1" s="12">
      <c r="A10" s="11" t="inlineStr">
        <is>
          <t>Promedio general (punto medio)</t>
        </is>
      </c>
      <c r="F10" s="11">
        <f>AVERAGE(F2:F8)</f>
        <v/>
      </c>
    </row>
    <row r="11" ht="15" customHeight="1" s="12">
      <c r="A11" s="11" t="inlineStr">
        <is>
          <t>Mediana general (punto medio)</t>
        </is>
      </c>
      <c r="F11" s="11">
        <f>MEDIAN(F2:F8)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24" t="inlineStr">
        <is>
          <t>Gráficos del análisis de entrevistas (se actualizan solos con las hojas de datos)</t>
        </is>
      </c>
    </row>
  </sheetData>
  <pageMargins left="0.75" right="0.75" top="1" bottom="1" header="0.5" footer="0.5"/>
  <pageSetup orientation="landscape" fitToHeight="0" fitToWidth="1"/>
  <rowBreaks count="4" manualBreakCount="4">
    <brk id="28" min="0" max="16383" man="1"/>
    <brk id="58" min="0" max="16383" man="1"/>
    <brk id="88" min="0" max="16383" man="1"/>
    <brk id="11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2026-10-04T19:47:56Z</dcterms:created>
  <dcterms:modified xmlns:dcterms="http://purl.org/dc/terms/" xmlns:xsi="http://www.w3.org/2001/XMLSchema-instance" xsi:type="dcterms:W3CDTF">2026-10-05T12:44:26Z</dcterms:modified>
  <cp:revision>0</cp:revision>
</cp:coreProperties>
</file>